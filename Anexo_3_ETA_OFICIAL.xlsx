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filterPrivacy="1"/>
  <xr:revisionPtr revIDLastSave="0" documentId="8_{1F1B9B11-48E9-F44E-BEEC-99D05388BE51}" xr6:coauthVersionLast="47" xr6:coauthVersionMax="47" xr10:uidLastSave="{00000000-0000-0000-0000-000000000000}"/>
  <bookViews>
    <workbookView xWindow="0" yWindow="660" windowWidth="30240" windowHeight="17740" xr2:uid="{41D89E02-2A30-FB4C-88FF-CDBEADEB4BEC}"/>
  </bookViews>
  <sheets>
    <sheet name="Inf. Preliminar" sheetId="2" r:id="rId1"/>
    <sheet name="Inf. 72 horas" sheetId="3" r:id="rId2"/>
    <sheet name="Inf. final" sheetId="4" r:id="rId3"/>
  </sheets>
  <definedNames>
    <definedName name="_xlnm.Print_Area" localSheetId="0">'Inf. Preliminar'!$B$2:$O$66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3" i="3" l="1"/>
  <c r="L91" i="3"/>
  <c r="H56" i="2"/>
  <c r="F32" i="4"/>
  <c r="H59" i="2"/>
  <c r="K152" i="3"/>
  <c r="N153" i="3"/>
  <c r="N152" i="3"/>
  <c r="K156" i="3"/>
  <c r="F68" i="3"/>
  <c r="G68" i="3"/>
  <c r="F69" i="3"/>
  <c r="G69" i="3"/>
  <c r="F70" i="3"/>
  <c r="F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F81" i="3"/>
  <c r="F82" i="3"/>
  <c r="G82" i="3"/>
  <c r="F83" i="3"/>
  <c r="G83" i="3"/>
  <c r="F84" i="3"/>
  <c r="G84" i="3"/>
  <c r="F85" i="3"/>
  <c r="G85" i="3"/>
  <c r="F86" i="3"/>
  <c r="F87" i="3"/>
  <c r="G87" i="3"/>
  <c r="F88" i="3"/>
  <c r="G88" i="3"/>
  <c r="F89" i="3"/>
  <c r="G89" i="3"/>
  <c r="F90" i="3"/>
  <c r="F91" i="3"/>
  <c r="G91" i="3"/>
  <c r="F92" i="3"/>
  <c r="G92" i="3"/>
  <c r="F93" i="3"/>
  <c r="F94" i="3"/>
  <c r="G94" i="3"/>
  <c r="F95" i="3"/>
  <c r="G95" i="3"/>
  <c r="F96" i="3"/>
  <c r="G96" i="3"/>
  <c r="F9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L67" i="3"/>
  <c r="O76" i="3"/>
  <c r="I26" i="4"/>
  <c r="C26" i="4"/>
  <c r="S115" i="3"/>
  <c r="S116" i="3"/>
  <c r="S117" i="3"/>
  <c r="S118" i="3"/>
  <c r="S119" i="3"/>
  <c r="S120" i="3"/>
  <c r="S121" i="3"/>
  <c r="S122" i="3"/>
  <c r="S123" i="3"/>
  <c r="S124" i="3"/>
  <c r="P30" i="3"/>
  <c r="S139" i="3"/>
  <c r="S140" i="3"/>
  <c r="S141" i="3"/>
  <c r="S142" i="3"/>
  <c r="S143" i="3"/>
  <c r="S144" i="3"/>
  <c r="D134" i="3"/>
  <c r="S134" i="3"/>
  <c r="D135" i="3"/>
  <c r="S135" i="3"/>
  <c r="D136" i="3"/>
  <c r="S136" i="3"/>
  <c r="D137" i="3"/>
  <c r="S137" i="3"/>
  <c r="D138" i="3"/>
  <c r="S138" i="3"/>
  <c r="D139" i="3"/>
  <c r="D140" i="3"/>
  <c r="D141" i="3"/>
  <c r="D142" i="3"/>
  <c r="D143" i="3"/>
  <c r="D144" i="3"/>
  <c r="D133" i="3"/>
  <c r="S133" i="3"/>
  <c r="J114" i="3"/>
  <c r="J110" i="3"/>
  <c r="K110" i="3"/>
  <c r="G37" i="3"/>
  <c r="G38" i="3"/>
  <c r="G39" i="3"/>
  <c r="G40" i="3"/>
  <c r="G41" i="3"/>
  <c r="G42" i="3"/>
  <c r="G43" i="3"/>
  <c r="G34" i="3"/>
  <c r="G35" i="3"/>
  <c r="G36" i="3"/>
  <c r="Q87" i="3"/>
  <c r="Q8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68" i="3"/>
  <c r="O68" i="3"/>
  <c r="Q68" i="3"/>
  <c r="O74" i="3"/>
  <c r="O75" i="3"/>
  <c r="O77" i="3"/>
  <c r="O72" i="3"/>
  <c r="O70" i="3"/>
  <c r="O73" i="3"/>
  <c r="O71" i="3"/>
  <c r="O69" i="3"/>
  <c r="Q97" i="3"/>
  <c r="Q96" i="3"/>
  <c r="Q95" i="3"/>
  <c r="Q94" i="3"/>
  <c r="Q90" i="3"/>
  <c r="Q89" i="3"/>
  <c r="N77" i="3"/>
  <c r="N76" i="3"/>
  <c r="N75" i="3"/>
  <c r="P75" i="3"/>
  <c r="N74" i="3"/>
  <c r="N73" i="3"/>
  <c r="N72" i="3"/>
  <c r="N71" i="3"/>
  <c r="N70" i="3"/>
  <c r="N69" i="3"/>
  <c r="P69" i="3"/>
  <c r="P78" i="3"/>
  <c r="N68" i="3"/>
  <c r="N34" i="2"/>
  <c r="C36" i="2"/>
  <c r="Q116" i="3"/>
  <c r="Q117" i="3"/>
  <c r="Q118" i="3"/>
  <c r="Q119" i="3"/>
  <c r="Q120" i="3"/>
  <c r="Q121" i="3"/>
  <c r="Q122" i="3"/>
  <c r="Q123" i="3"/>
  <c r="Q124" i="3"/>
  <c r="P116" i="3"/>
  <c r="P117" i="3"/>
  <c r="P118" i="3"/>
  <c r="P119" i="3"/>
  <c r="P120" i="3"/>
  <c r="P121" i="3"/>
  <c r="P122" i="3"/>
  <c r="P123" i="3"/>
  <c r="P124" i="3"/>
  <c r="N115" i="3"/>
  <c r="N116" i="3"/>
  <c r="N117" i="3"/>
  <c r="N118" i="3"/>
  <c r="N119" i="3"/>
  <c r="N120" i="3"/>
  <c r="N121" i="3"/>
  <c r="N122" i="3"/>
  <c r="N123" i="3"/>
  <c r="N124" i="3"/>
  <c r="F110" i="3"/>
  <c r="F111" i="3"/>
  <c r="G111" i="3"/>
  <c r="J111" i="3"/>
  <c r="K111" i="3"/>
  <c r="F112" i="3"/>
  <c r="G112" i="3"/>
  <c r="J112" i="3"/>
  <c r="K112" i="3"/>
  <c r="F113" i="3"/>
  <c r="G113" i="3"/>
  <c r="J113" i="3"/>
  <c r="K113" i="3"/>
  <c r="M113" i="3"/>
  <c r="F114" i="3"/>
  <c r="G114" i="3"/>
  <c r="K114" i="3"/>
  <c r="F115" i="3"/>
  <c r="J115" i="3"/>
  <c r="K115" i="3"/>
  <c r="H141" i="3"/>
  <c r="H142" i="3"/>
  <c r="H143" i="3"/>
  <c r="H144" i="3"/>
  <c r="Q134" i="3"/>
  <c r="Q135" i="3"/>
  <c r="Q136" i="3"/>
  <c r="Q137" i="3"/>
  <c r="Q138" i="3"/>
  <c r="Q139" i="3"/>
  <c r="Q140" i="3"/>
  <c r="Q141" i="3"/>
  <c r="Q142" i="3"/>
  <c r="Q143" i="3"/>
  <c r="Q144" i="3"/>
  <c r="Q133" i="3"/>
  <c r="H135" i="3"/>
  <c r="M135" i="3"/>
  <c r="F35" i="3"/>
  <c r="F36" i="3"/>
  <c r="F37" i="3"/>
  <c r="F38" i="3"/>
  <c r="F39" i="3"/>
  <c r="F40" i="3"/>
  <c r="F41" i="3"/>
  <c r="F42" i="3"/>
  <c r="F43" i="3"/>
  <c r="F34" i="3"/>
  <c r="H51" i="3"/>
  <c r="J142" i="3"/>
  <c r="J144" i="3"/>
  <c r="J143" i="3"/>
  <c r="J141" i="3"/>
  <c r="J140" i="3"/>
  <c r="J139" i="3"/>
  <c r="J138" i="3"/>
  <c r="M141" i="3"/>
  <c r="E10" i="4"/>
  <c r="F12" i="4"/>
  <c r="F13" i="4"/>
  <c r="F14" i="4"/>
  <c r="E20" i="4"/>
  <c r="E10" i="3"/>
  <c r="F12" i="3"/>
  <c r="F13" i="3"/>
  <c r="F14" i="3"/>
  <c r="E19" i="3"/>
  <c r="H49" i="3"/>
  <c r="M49" i="3"/>
  <c r="N49" i="3"/>
  <c r="P49" i="3"/>
  <c r="O49" i="3"/>
  <c r="H50" i="3"/>
  <c r="M50" i="3"/>
  <c r="N50" i="3"/>
  <c r="P50" i="3"/>
  <c r="O50" i="3"/>
  <c r="M51" i="3"/>
  <c r="N51" i="3"/>
  <c r="P51" i="3"/>
  <c r="O51" i="3"/>
  <c r="H52" i="3"/>
  <c r="M52" i="3"/>
  <c r="N52" i="3"/>
  <c r="P52" i="3"/>
  <c r="O52" i="3"/>
  <c r="H53" i="3"/>
  <c r="M53" i="3"/>
  <c r="N53" i="3"/>
  <c r="P53" i="3"/>
  <c r="O53" i="3"/>
  <c r="H54" i="3"/>
  <c r="M54" i="3"/>
  <c r="N54" i="3"/>
  <c r="P54" i="3"/>
  <c r="O54" i="3"/>
  <c r="H55" i="3"/>
  <c r="M55" i="3"/>
  <c r="N55" i="3"/>
  <c r="P55" i="3"/>
  <c r="O55" i="3"/>
  <c r="F56" i="3"/>
  <c r="H56" i="3"/>
  <c r="G56" i="3"/>
  <c r="I56" i="3"/>
  <c r="I57" i="3"/>
  <c r="K56" i="3"/>
  <c r="C67" i="3"/>
  <c r="G70" i="3"/>
  <c r="G71" i="3"/>
  <c r="G80" i="3"/>
  <c r="G81" i="3"/>
  <c r="G86" i="3"/>
  <c r="G90" i="3"/>
  <c r="G93" i="3"/>
  <c r="G97" i="3"/>
  <c r="E98" i="3"/>
  <c r="I98" i="3"/>
  <c r="P103" i="3"/>
  <c r="N107" i="3"/>
  <c r="N111" i="3"/>
  <c r="R110" i="3"/>
  <c r="R111" i="3"/>
  <c r="R112" i="3"/>
  <c r="R113" i="3"/>
  <c r="R114" i="3"/>
  <c r="R115" i="3"/>
  <c r="F116" i="3"/>
  <c r="G116" i="3"/>
  <c r="J116" i="3"/>
  <c r="T116" i="3"/>
  <c r="K116" i="3"/>
  <c r="M116" i="3"/>
  <c r="R116" i="3"/>
  <c r="F117" i="3"/>
  <c r="G117" i="3"/>
  <c r="J117" i="3"/>
  <c r="K117" i="3"/>
  <c r="M117" i="3"/>
  <c r="R117" i="3"/>
  <c r="F118" i="3"/>
  <c r="G118" i="3"/>
  <c r="J118" i="3"/>
  <c r="T118" i="3"/>
  <c r="K118" i="3"/>
  <c r="M118" i="3"/>
  <c r="R118" i="3"/>
  <c r="F119" i="3"/>
  <c r="G119" i="3"/>
  <c r="J119" i="3"/>
  <c r="K119" i="3"/>
  <c r="M119" i="3"/>
  <c r="R119" i="3"/>
  <c r="F120" i="3"/>
  <c r="G120" i="3"/>
  <c r="J120" i="3"/>
  <c r="K120" i="3"/>
  <c r="M120" i="3"/>
  <c r="R120" i="3"/>
  <c r="F121" i="3"/>
  <c r="T121" i="3"/>
  <c r="G121" i="3"/>
  <c r="J121" i="3"/>
  <c r="K121" i="3"/>
  <c r="M121" i="3"/>
  <c r="R121" i="3"/>
  <c r="F122" i="3"/>
  <c r="G122" i="3"/>
  <c r="J122" i="3"/>
  <c r="K122" i="3"/>
  <c r="M122" i="3"/>
  <c r="R122" i="3"/>
  <c r="F123" i="3"/>
  <c r="T123" i="3"/>
  <c r="G123" i="3"/>
  <c r="J123" i="3"/>
  <c r="K123" i="3"/>
  <c r="M123" i="3"/>
  <c r="R123" i="3"/>
  <c r="F124" i="3"/>
  <c r="G124" i="3"/>
  <c r="J124" i="3"/>
  <c r="T124" i="3"/>
  <c r="K124" i="3"/>
  <c r="M124" i="3"/>
  <c r="R124" i="3"/>
  <c r="M142" i="3"/>
  <c r="M143" i="3"/>
  <c r="M144" i="3"/>
  <c r="H139" i="3"/>
  <c r="M139" i="3"/>
  <c r="C147" i="3"/>
  <c r="M140" i="3"/>
  <c r="H138" i="3"/>
  <c r="M138" i="3"/>
  <c r="S114" i="3"/>
  <c r="P115" i="3"/>
  <c r="G115" i="3"/>
  <c r="M115" i="3"/>
  <c r="Q115" i="3"/>
  <c r="J135" i="3"/>
  <c r="H134" i="3"/>
  <c r="M134" i="3"/>
  <c r="J136" i="3"/>
  <c r="N110" i="3"/>
  <c r="N113" i="3"/>
  <c r="Q113" i="3"/>
  <c r="J134" i="3"/>
  <c r="J137" i="3"/>
  <c r="H133" i="3"/>
  <c r="M133" i="3"/>
  <c r="H136" i="3"/>
  <c r="M136" i="3"/>
  <c r="M114" i="3"/>
  <c r="N114" i="3"/>
  <c r="N112" i="3"/>
  <c r="C127" i="3"/>
  <c r="S113" i="3"/>
  <c r="P113" i="3"/>
  <c r="Q114" i="3"/>
  <c r="P114" i="3"/>
  <c r="H137" i="3"/>
  <c r="M137" i="3"/>
  <c r="P76" i="3"/>
  <c r="P70" i="3"/>
  <c r="P77" i="3"/>
  <c r="Q111" i="3"/>
  <c r="M112" i="3"/>
  <c r="Q112" i="3"/>
  <c r="T112" i="3"/>
  <c r="S112" i="3"/>
  <c r="P112" i="3"/>
  <c r="M111" i="3"/>
  <c r="T111" i="3"/>
  <c r="S111" i="3"/>
  <c r="P111" i="3"/>
  <c r="P110" i="3"/>
  <c r="T110" i="3"/>
  <c r="S110" i="3"/>
  <c r="Q110" i="3"/>
  <c r="G110" i="3"/>
  <c r="M110" i="3"/>
  <c r="J36" i="2"/>
  <c r="M32" i="2"/>
  <c r="P71" i="3"/>
  <c r="P73" i="3"/>
  <c r="T122" i="3"/>
  <c r="T114" i="3"/>
  <c r="T120" i="3"/>
  <c r="F57" i="3"/>
  <c r="T117" i="3"/>
  <c r="K68" i="3"/>
  <c r="Q69" i="3"/>
  <c r="P68" i="3"/>
  <c r="T119" i="3"/>
  <c r="T113" i="3"/>
  <c r="P74" i="3"/>
  <c r="O78" i="3"/>
  <c r="P94" i="3"/>
  <c r="M56" i="3"/>
  <c r="O56" i="3"/>
  <c r="O57" i="3"/>
  <c r="P72" i="3"/>
  <c r="Q70" i="3"/>
  <c r="Q71" i="3"/>
  <c r="K69" i="3"/>
  <c r="K70" i="3"/>
  <c r="Q72" i="3"/>
  <c r="K71" i="3"/>
  <c r="P96" i="3"/>
  <c r="G98" i="3"/>
  <c r="P89" i="3"/>
  <c r="N56" i="3"/>
  <c r="P56" i="3"/>
  <c r="N57" i="3"/>
  <c r="Q73" i="3"/>
  <c r="K72" i="3"/>
  <c r="P95" i="3"/>
  <c r="P97" i="3"/>
  <c r="P90" i="3"/>
  <c r="Q74" i="3"/>
  <c r="K73" i="3"/>
  <c r="Q75" i="3"/>
  <c r="K74" i="3"/>
  <c r="K75" i="3"/>
  <c r="Q76" i="3"/>
  <c r="K76" i="3"/>
  <c r="Q77" i="3"/>
  <c r="K7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M5" authorId="0" shapeId="0" xr:uid="{87A943DB-6F2F-C747-8FD2-58645F9F0F92}">
      <text>
        <r>
          <rPr>
            <sz val="10"/>
            <color indexed="81"/>
            <rFont val="Century Gothic"/>
            <family val="2"/>
          </rPr>
          <t>1. Logo Secretaría departamental/distrital de salud que realiza el informe</t>
        </r>
      </text>
    </comment>
    <comment ref="E10" authorId="0" shapeId="0" xr:uid="{F1258E59-40BF-CE43-8165-D576C8672B65}">
      <text>
        <r>
          <rPr>
            <sz val="10"/>
            <color indexed="81"/>
            <rFont val="Century Gothic"/>
            <family val="2"/>
          </rPr>
          <t xml:space="preserve">2. Nombre de la Secretaría departamental/distrital o institución que realiza el informe </t>
        </r>
      </text>
    </comment>
    <comment ref="F12" authorId="0" shapeId="0" xr:uid="{F27E7BE2-6DEE-954F-BBA6-9D04716BCFA8}">
      <text>
        <r>
          <rPr>
            <sz val="10"/>
            <color indexed="81"/>
            <rFont val="Century Gothic"/>
            <family val="2"/>
          </rPr>
          <t>3. Datos del departamento, municipio, barrio/corregimiento/vereda/localidad según corresponda</t>
        </r>
      </text>
    </comment>
    <comment ref="I16" authorId="0" shapeId="0" xr:uid="{90E27E6B-7398-2F4F-9A9D-F860E610E5FB}">
      <text>
        <r>
          <rPr>
            <sz val="10"/>
            <color indexed="81"/>
            <rFont val="Century Gothic"/>
            <family val="2"/>
          </rPr>
          <t xml:space="preserve">4. Seleccione con </t>
        </r>
        <r>
          <rPr>
            <b/>
            <sz val="10"/>
            <color indexed="81"/>
            <rFont val="Century Gothic"/>
            <family val="2"/>
          </rPr>
          <t xml:space="preserve">X </t>
        </r>
        <r>
          <rPr>
            <sz val="10"/>
            <color indexed="81"/>
            <rFont val="Century Gothic"/>
            <family val="2"/>
          </rPr>
          <t>si el brote cumple o no con los criterios de notificación inmediata</t>
        </r>
      </text>
    </comment>
    <comment ref="K16" authorId="0" shapeId="0" xr:uid="{83C8EA01-E1DE-5F4D-B65D-12B232F5BA17}">
      <text>
        <r>
          <rPr>
            <sz val="10"/>
            <color indexed="81"/>
            <rFont val="Century Gothic"/>
            <family val="2"/>
          </rPr>
          <t xml:space="preserve">4. Seleccione con </t>
        </r>
        <r>
          <rPr>
            <b/>
            <sz val="10"/>
            <color indexed="81"/>
            <rFont val="Century Gothic"/>
            <family val="2"/>
          </rPr>
          <t xml:space="preserve">X </t>
        </r>
        <r>
          <rPr>
            <sz val="10"/>
            <color indexed="81"/>
            <rFont val="Century Gothic"/>
            <family val="2"/>
          </rPr>
          <t>si el brote cumple o no con los criterios de notificación inmediata</t>
        </r>
      </text>
    </comment>
    <comment ref="H18" authorId="0" shapeId="0" xr:uid="{CC83616B-E7B9-9842-8786-FA36795F26B3}">
      <text>
        <r>
          <rPr>
            <sz val="10"/>
            <color indexed="81"/>
            <rFont val="Century Gothic"/>
            <family val="2"/>
          </rPr>
          <t>5. Fecha de inicio de sintomas del primer caso detectado, formato dd/mm/año</t>
        </r>
      </text>
    </comment>
    <comment ref="H20" authorId="0" shapeId="0" xr:uid="{3834E4D9-C447-7E4D-94D5-00EE296EA44E}">
      <text>
        <r>
          <rPr>
            <sz val="10"/>
            <color indexed="8"/>
            <rFont val="Century Gothic"/>
            <family val="2"/>
          </rPr>
          <t>5. Fecha en que la entidad territorial se entera del brote, formato dd/mm/año</t>
        </r>
      </text>
    </comment>
    <comment ref="H22" authorId="0" shapeId="0" xr:uid="{D2496A93-C30E-FC4D-BE14-2444AEC40085}">
      <text>
        <r>
          <rPr>
            <sz val="10"/>
            <color indexed="81"/>
            <rFont val="Century Gothic"/>
            <family val="2"/>
          </rPr>
          <t>5. Fecha en que se envia el informe al INS, formato dd/mm/año</t>
        </r>
      </text>
    </comment>
    <comment ref="H24" authorId="0" shapeId="0" xr:uid="{77CB0608-8C7A-4F4C-B12D-74593CB4D8E8}">
      <text>
        <r>
          <rPr>
            <sz val="10"/>
            <color indexed="81"/>
            <rFont val="Century Gothic"/>
            <family val="2"/>
          </rPr>
          <t>5. Fecha en la que se ingresa al sivigila (Codigo 349), formato dd/mm/año</t>
        </r>
      </text>
    </comment>
    <comment ref="H26" authorId="0" shapeId="0" xr:uid="{6CD2FCAF-96E1-A84F-BFEB-140D6A9FA614}">
      <text>
        <r>
          <rPr>
            <sz val="10"/>
            <color indexed="81"/>
            <rFont val="Century Gothic"/>
            <family val="2"/>
          </rPr>
          <t xml:space="preserve">7. Semana epidemiológica en que ocurre el brote </t>
        </r>
      </text>
    </comment>
    <comment ref="E28" authorId="0" shapeId="0" xr:uid="{DE3F18B3-A1E6-6848-9145-848280FFE7EA}">
      <text>
        <r>
          <rPr>
            <sz val="10"/>
            <color indexed="81"/>
            <rFont val="Century Gothic"/>
            <family val="2"/>
          </rPr>
          <t>8. Lugar o institución donde se presentó el brote</t>
        </r>
      </text>
    </comment>
    <comment ref="E30" authorId="0" shapeId="0" xr:uid="{7D7DF9C1-D96A-E64B-AC3C-6AAA439D3EB0}">
      <text>
        <r>
          <rPr>
            <sz val="10"/>
            <color indexed="81"/>
            <rFont val="Century Gothic"/>
            <family val="2"/>
          </rPr>
          <t>9. Dirección del lugar donde se presentó el brote</t>
        </r>
      </text>
    </comment>
    <comment ref="K30" authorId="0" shapeId="0" xr:uid="{07B7370A-ABBB-B146-AC60-318D2082B349}">
      <text>
        <r>
          <rPr>
            <sz val="10"/>
            <color indexed="81"/>
            <rFont val="Century Gothic"/>
            <family val="2"/>
          </rPr>
          <t>10. Número de teléfono del lugar o contacto donde se presentó el brote</t>
        </r>
      </text>
    </comment>
    <comment ref="H32" authorId="0" shapeId="0" xr:uid="{AEAD09CA-4B92-D245-8766-E032F2A1D762}">
      <text>
        <r>
          <rPr>
            <sz val="10"/>
            <color indexed="81"/>
            <rFont val="Century Gothic"/>
            <family val="2"/>
          </rPr>
          <t>11. Fecha de inicio de signos y síntomas del primer caso (caso índice), formato dd/mm/año</t>
        </r>
      </text>
    </comment>
    <comment ref="E34" authorId="0" shapeId="0" xr:uid="{DAB39BE8-C419-1E4D-BF3B-B0E6799C0E49}">
      <text>
        <r>
          <rPr>
            <sz val="10"/>
            <color indexed="81"/>
            <rFont val="Century Gothic"/>
            <family val="2"/>
          </rPr>
          <t>12. Número de personas que estuvieron en riesgo de enfermar (incluye enfermos y no enfermos)</t>
        </r>
      </text>
    </comment>
    <comment ref="H34" authorId="0" shapeId="0" xr:uid="{94AB29B5-41C6-2949-B56B-0F3CD33ACAB2}">
      <text>
        <r>
          <rPr>
            <sz val="10"/>
            <color indexed="81"/>
            <rFont val="Century Gothic"/>
            <family val="2"/>
          </rPr>
          <t>13. Número de casos identificados en UPGD</t>
        </r>
      </text>
    </comment>
    <comment ref="K34" authorId="0" shapeId="0" xr:uid="{3F75DBD8-51D3-124C-85DE-0369A070F818}">
      <text>
        <r>
          <rPr>
            <sz val="10"/>
            <color indexed="81"/>
            <rFont val="Century Gothic"/>
            <family val="2"/>
          </rPr>
          <t>14. Número de casos identificados en búsqueda activa comunitaria</t>
        </r>
      </text>
    </comment>
    <comment ref="E38" authorId="0" shapeId="0" xr:uid="{C137FE7D-6365-B444-A306-9BF1F4DC7FCB}">
      <text>
        <r>
          <rPr>
            <sz val="10"/>
            <color indexed="81"/>
            <rFont val="Century Gothic"/>
            <family val="2"/>
          </rPr>
          <t>15. Número de casos que se encuentran vivos</t>
        </r>
      </text>
    </comment>
    <comment ref="H38" authorId="0" shapeId="0" xr:uid="{C26C24F7-EDE7-6240-897B-8F000FFD2428}">
      <text>
        <r>
          <rPr>
            <sz val="10"/>
            <color indexed="81"/>
            <rFont val="Century Gothic"/>
            <family val="2"/>
          </rPr>
          <t>16. Número de casos que murieron</t>
        </r>
      </text>
    </comment>
    <comment ref="K38" authorId="0" shapeId="0" xr:uid="{56EA741A-108E-754B-81EC-5CC2DEA33E31}">
      <text>
        <r>
          <rPr>
            <sz val="10"/>
            <color indexed="81"/>
            <rFont val="Century Gothic"/>
            <family val="2"/>
          </rPr>
          <t>17. Número de casos que requirieron hospitalización (mayor a 6 horas)</t>
        </r>
      </text>
    </comment>
    <comment ref="N38" authorId="0" shapeId="0" xr:uid="{D14E7CEC-D578-4E47-9A76-B90F2BADCADC}">
      <text>
        <r>
          <rPr>
            <sz val="10"/>
            <color indexed="81"/>
            <rFont val="Century Gothic"/>
            <family val="2"/>
          </rPr>
          <t>18. Número de casos que no requirieron hospitalización pero fueron atendidos ambulatoriamente</t>
        </r>
      </text>
    </comment>
    <comment ref="F40" authorId="0" shapeId="0" xr:uid="{50D2D30E-B903-1B44-860C-FBEDAFE31425}">
      <text>
        <r>
          <rPr>
            <sz val="10"/>
            <color indexed="81"/>
            <rFont val="Century Gothic"/>
            <family val="2"/>
          </rPr>
          <t xml:space="preserve">19. Posibles alimentos que hayan consumido las personas (enfermas y no enfermas) </t>
        </r>
      </text>
    </comment>
    <comment ref="F42" authorId="0" shapeId="0" xr:uid="{A90F536E-FB63-EB44-A76B-6575496535A4}">
      <text>
        <r>
          <rPr>
            <sz val="10"/>
            <color indexed="81"/>
            <rFont val="Century Gothic"/>
            <family val="2"/>
          </rPr>
          <t>20. Signos y síntomas presentados por los casos identificados</t>
        </r>
      </text>
    </comment>
    <comment ref="E44" authorId="0" shapeId="0" xr:uid="{B929E5D3-A2D7-A449-85BE-4819B3DC1F0D}">
      <text>
        <r>
          <rPr>
            <sz val="10"/>
            <color indexed="81"/>
            <rFont val="Century Gothic"/>
            <family val="2"/>
          </rPr>
          <t>21. Describa de manera cronológica el abordaje de la investigación epidemiológica de campo por parte de la Unidad Notificadora Municipal, Distrital o Departamental según corresponda</t>
        </r>
      </text>
    </comment>
    <comment ref="E47" authorId="0" shapeId="0" xr:uid="{D6806A89-A532-6741-9734-22D0064690BF}">
      <text>
        <r>
          <rPr>
            <sz val="10"/>
            <color indexed="81"/>
            <rFont val="Century Gothic"/>
            <family val="2"/>
          </rPr>
          <t>22. Escriba conjeturas probables o explicaciones parciales sobre el posible agente, fuente y modo de transmisión, teniendo en cuenta signos y síntomas presentados, periodo de incubación, alimentos consumidos (refiérase al anexo de Clasificación ETA).</t>
        </r>
      </text>
    </comment>
    <comment ref="E49" authorId="0" shapeId="0" xr:uid="{48277A05-B04F-C749-BF62-38542BEBD116}">
      <text>
        <r>
          <rPr>
            <sz val="10"/>
            <color indexed="81"/>
            <rFont val="Century Gothic"/>
            <family val="2"/>
          </rPr>
          <t>23.  Medidas de control inmediatas, las cuales deben estar relacionadas a la fuente, agente y modo de transmisión</t>
        </r>
      </text>
    </comment>
    <comment ref="E51" authorId="0" shapeId="0" xr:uid="{38D81B92-B651-584D-925A-D87C42120B9C}">
      <text>
        <r>
          <rPr>
            <sz val="10"/>
            <color indexed="81"/>
            <rFont val="Century Gothic"/>
            <family val="2"/>
          </rPr>
          <t>24. Otra información que crea sea relevante o que aporte información de interés a la investigación epidemiológica de campo</t>
        </r>
      </text>
    </comment>
    <comment ref="F53" authorId="0" shapeId="0" xr:uid="{0C630DC2-7E08-834A-973F-CC1B9446F3B8}">
      <text>
        <r>
          <rPr>
            <sz val="10"/>
            <color indexed="81"/>
            <rFont val="Century Gothic"/>
            <family val="2"/>
          </rPr>
          <t xml:space="preserve">25. Seleccione con </t>
        </r>
        <r>
          <rPr>
            <b/>
            <sz val="10"/>
            <color indexed="81"/>
            <rFont val="Century Gothic"/>
            <family val="2"/>
          </rPr>
          <t xml:space="preserve">X </t>
        </r>
        <r>
          <rPr>
            <sz val="10"/>
            <color indexed="81"/>
            <rFont val="Century Gothic"/>
            <family val="2"/>
          </rPr>
          <t>el(los) tipo(s) de muestras recolectadas</t>
        </r>
      </text>
    </comment>
    <comment ref="I53" authorId="0" shapeId="0" xr:uid="{D8FBAB99-5351-8248-8157-4F9E0BDED77D}">
      <text>
        <r>
          <rPr>
            <sz val="10"/>
            <color indexed="81"/>
            <rFont val="Century Gothic"/>
            <family val="2"/>
          </rPr>
          <t xml:space="preserve">25. Seleccione con </t>
        </r>
        <r>
          <rPr>
            <b/>
            <sz val="10"/>
            <color indexed="81"/>
            <rFont val="Century Gothic"/>
            <family val="2"/>
          </rPr>
          <t xml:space="preserve">X </t>
        </r>
        <r>
          <rPr>
            <sz val="10"/>
            <color indexed="81"/>
            <rFont val="Century Gothic"/>
            <family val="2"/>
          </rPr>
          <t>el(los) tipo(s) de muestras recolectadas</t>
        </r>
      </text>
    </comment>
    <comment ref="F54" authorId="0" shapeId="0" xr:uid="{82938A5C-9D18-8C46-8FCE-1D379F6047BB}">
      <text>
        <r>
          <rPr>
            <sz val="10"/>
            <color indexed="81"/>
            <rFont val="Century Gothic"/>
            <family val="2"/>
          </rPr>
          <t xml:space="preserve">25. Seleccione con </t>
        </r>
        <r>
          <rPr>
            <b/>
            <sz val="10"/>
            <color indexed="81"/>
            <rFont val="Century Gothic"/>
            <family val="2"/>
          </rPr>
          <t xml:space="preserve">X </t>
        </r>
        <r>
          <rPr>
            <sz val="10"/>
            <color indexed="81"/>
            <rFont val="Century Gothic"/>
            <family val="2"/>
          </rPr>
          <t>el(los) tipo(s) de muestras recolectadas</t>
        </r>
      </text>
    </comment>
    <comment ref="I54" authorId="0" shapeId="0" xr:uid="{1E5EA852-F8CF-9E4F-8726-6472F8CBF91C}">
      <text>
        <r>
          <rPr>
            <sz val="10"/>
            <color indexed="81"/>
            <rFont val="Century Gothic"/>
            <family val="2"/>
          </rPr>
          <t xml:space="preserve">25. Seleccione con </t>
        </r>
        <r>
          <rPr>
            <b/>
            <sz val="10"/>
            <color indexed="81"/>
            <rFont val="Century Gothic"/>
            <family val="2"/>
          </rPr>
          <t xml:space="preserve">X </t>
        </r>
        <r>
          <rPr>
            <sz val="10"/>
            <color indexed="81"/>
            <rFont val="Century Gothic"/>
            <family val="2"/>
          </rPr>
          <t>el(los) tipo(s) de muestras recolectadas</t>
        </r>
      </text>
    </comment>
    <comment ref="F56" authorId="0" shapeId="0" xr:uid="{47CC38E8-B12C-B847-89FF-18AF06DDAEB4}">
      <text>
        <r>
          <rPr>
            <sz val="10"/>
            <color indexed="81"/>
            <rFont val="Century Gothic"/>
            <family val="2"/>
          </rPr>
          <t xml:space="preserve">26. Seleccione con </t>
        </r>
        <r>
          <rPr>
            <b/>
            <sz val="10"/>
            <color indexed="81"/>
            <rFont val="Century Gothic"/>
            <family val="2"/>
          </rPr>
          <t xml:space="preserve">X </t>
        </r>
        <r>
          <rPr>
            <sz val="10"/>
            <color indexed="81"/>
            <rFont val="Century Gothic"/>
            <family val="2"/>
          </rPr>
          <t xml:space="preserve">si alguno de los alimentos relacionados son industrizalizados </t>
        </r>
      </text>
    </comment>
    <comment ref="J56" authorId="0" shapeId="0" xr:uid="{9997BB88-E901-C247-A2E3-1BD7AD9125AF}">
      <text>
        <r>
          <rPr>
            <sz val="10"/>
            <color indexed="81"/>
            <rFont val="Century Gothic"/>
            <family val="2"/>
          </rPr>
          <t>27. Si se selecciona Industrializado, describir: dirección y nombre del fabricante, lote, marca, registro sanitario, fecha de vencimiento, nombre del producto, registro, permiso o notificación sanitaria.</t>
        </r>
      </text>
    </comment>
    <comment ref="F57" authorId="0" shapeId="0" xr:uid="{AF675907-668A-1C43-B01E-9D257ACEA56D}">
      <text>
        <r>
          <rPr>
            <sz val="10"/>
            <color indexed="81"/>
            <rFont val="Century Gothic"/>
            <family val="2"/>
          </rPr>
          <t xml:space="preserve">26. Seleccione con </t>
        </r>
        <r>
          <rPr>
            <b/>
            <sz val="10"/>
            <color indexed="81"/>
            <rFont val="Century Gothic"/>
            <family val="2"/>
          </rPr>
          <t xml:space="preserve">X </t>
        </r>
        <r>
          <rPr>
            <sz val="10"/>
            <color indexed="81"/>
            <rFont val="Century Gothic"/>
            <family val="2"/>
          </rPr>
          <t>si ninguno de los alimentos relacionados con el brote son industrializados.</t>
        </r>
      </text>
    </comment>
    <comment ref="F59" authorId="0" shapeId="0" xr:uid="{A24143AC-498E-164E-9FDF-8E2EF767C292}">
      <text>
        <r>
          <rPr>
            <sz val="10"/>
            <color indexed="81"/>
            <rFont val="Century Gothic"/>
            <family val="2"/>
          </rPr>
          <t xml:space="preserve">28. Seleccione con </t>
        </r>
        <r>
          <rPr>
            <b/>
            <sz val="10"/>
            <color indexed="81"/>
            <rFont val="Century Gothic"/>
            <family val="2"/>
          </rPr>
          <t xml:space="preserve">X </t>
        </r>
        <r>
          <rPr>
            <sz val="10"/>
            <color indexed="81"/>
            <rFont val="Century Gothic"/>
            <family val="2"/>
          </rPr>
          <t>si requiere la intervención de otra(s) institución(es) que hagan parte del Sistema de Vigilancia de salud pública (INVIMA, ERI departamental o nacional, Laboratorio especializado, etc.)</t>
        </r>
      </text>
    </comment>
    <comment ref="J59" authorId="0" shapeId="0" xr:uid="{3469C377-11EE-704E-A923-194CD06D204D}">
      <text>
        <r>
          <rPr>
            <sz val="10"/>
            <color indexed="81"/>
            <rFont val="Century Gothic"/>
            <family val="2"/>
          </rPr>
          <t>29. Si se requiere intervención de otra(s) institución(es), escribir cuál(es).</t>
        </r>
      </text>
    </comment>
    <comment ref="F60" authorId="0" shapeId="0" xr:uid="{CEEBC80D-E911-7949-9659-3354B3BF8DF7}">
      <text>
        <r>
          <rPr>
            <sz val="10"/>
            <color indexed="81"/>
            <rFont val="Century Gothic"/>
            <family val="2"/>
          </rPr>
          <t xml:space="preserve">28. Seleccione con </t>
        </r>
        <r>
          <rPr>
            <b/>
            <sz val="10"/>
            <color indexed="81"/>
            <rFont val="Century Gothic"/>
            <family val="2"/>
          </rPr>
          <t xml:space="preserve">X </t>
        </r>
        <r>
          <rPr>
            <sz val="10"/>
            <color indexed="81"/>
            <rFont val="Century Gothic"/>
            <family val="2"/>
          </rPr>
          <t>si no requiere la intervención de otra(s) institución(es) que hagan parte del Sistema de Vigilancia de salud pública.</t>
        </r>
      </text>
    </comment>
    <comment ref="H62" authorId="0" shapeId="0" xr:uid="{62144004-3EB6-A345-A7E4-8E8B24C831DB}">
      <text>
        <r>
          <rPr>
            <sz val="10"/>
            <color indexed="81"/>
            <rFont val="Century Gothic"/>
            <family val="2"/>
          </rPr>
          <t>30. Escriba los datos de la(s) persona(s) responsables de la elaboración del informe con el fin de contactarla en caso de ser necesario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P5" authorId="0" shapeId="0" xr:uid="{B875A600-9811-E545-A14B-CB6CF3EC8578}">
      <text>
        <r>
          <rPr>
            <sz val="10"/>
            <color indexed="81"/>
            <rFont val="Century Gothic"/>
            <family val="2"/>
          </rPr>
          <t>1. Logo Secretaría departamental/distrital de salud que realiza el informe</t>
        </r>
      </text>
    </comment>
    <comment ref="G16" authorId="0" shapeId="0" xr:uid="{F47AEB7E-A098-C44D-B560-DE62795E4DDC}">
      <text>
        <r>
          <rPr>
            <sz val="10"/>
            <color indexed="81"/>
            <rFont val="Century Gothic"/>
            <family val="2"/>
          </rPr>
          <t>5. Fecha en que la entidad territorial inicia la IEC, formato dd/mm/año</t>
        </r>
      </text>
    </comment>
    <comment ref="E22" authorId="0" shapeId="0" xr:uid="{579B4A4A-CAA8-0E47-995A-C080CF8CD542}">
      <text>
        <r>
          <rPr>
            <sz val="10"/>
            <color indexed="81"/>
            <rFont val="Century Gothic"/>
            <family val="2"/>
          </rPr>
          <t>2. Definición operacional de caso teniendo en cuenta las condiciones de inclusión, exclusión o restricción en relación a los criterios: clínicos,  epidemiológicos y de laboratorio.</t>
        </r>
      </text>
    </comment>
    <comment ref="E24" authorId="0" shapeId="0" xr:uid="{5327FF9D-9CCB-7243-AB99-27BB8E871109}">
      <text>
        <r>
          <rPr>
            <sz val="10"/>
            <color indexed="81"/>
            <rFont val="Century Gothic"/>
            <family val="2"/>
          </rPr>
          <t>3. Describir brevemente el manejo y tratamiento dado a los casos y complicaciones las presentadas</t>
        </r>
      </text>
    </comment>
    <comment ref="G30" authorId="0" shapeId="0" xr:uid="{7DE99810-4CC6-C549-907E-0E3B9BCF8540}">
      <text>
        <r>
          <rPr>
            <sz val="10"/>
            <color indexed="81"/>
            <rFont val="Century Gothic"/>
            <family val="2"/>
          </rPr>
          <t>4. Fecha en la que se captó el primer caso; formato dd/mm/año</t>
        </r>
      </text>
    </comment>
    <comment ref="K30" authorId="0" shapeId="0" xr:uid="{A97FB323-6EF3-6541-B48D-137E36F0CF30}">
      <text>
        <r>
          <rPr>
            <sz val="10"/>
            <color indexed="81"/>
            <rFont val="Century Gothic"/>
            <family val="2"/>
          </rPr>
          <t>6. Número total de casos</t>
        </r>
      </text>
    </comment>
    <comment ref="N30" authorId="0" shapeId="0" xr:uid="{5939688D-16C3-DF47-8651-E0F8A111A861}">
      <text>
        <r>
          <rPr>
            <sz val="10"/>
            <color indexed="81"/>
            <rFont val="Century Gothic"/>
            <family val="2"/>
          </rPr>
          <t xml:space="preserve">7. Número total de personas que consumieron los alimentos implicados
</t>
        </r>
        <r>
          <rPr>
            <b/>
            <sz val="10"/>
            <color indexed="81"/>
            <rFont val="Century Gothic"/>
            <family val="2"/>
          </rPr>
          <t xml:space="preserve">OJO. </t>
        </r>
        <r>
          <rPr>
            <sz val="10"/>
            <color indexed="81"/>
            <rFont val="Century Gothic"/>
            <family val="2"/>
          </rPr>
          <t>Si va a realizar análisis de Casos y Controles, corresponde al total de entrevistados (sanos y enfermos)</t>
        </r>
      </text>
    </comment>
    <comment ref="G31" authorId="0" shapeId="0" xr:uid="{99BB64F0-5091-8746-A432-041B0426CF22}">
      <text>
        <r>
          <rPr>
            <sz val="10"/>
            <color indexed="81"/>
            <rFont val="Century Gothic"/>
            <family val="2"/>
          </rPr>
          <t>5. Fecha en la que se captó el último caso; formato dd/mm/año</t>
        </r>
      </text>
    </comment>
    <comment ref="C33" authorId="0" shapeId="0" xr:uid="{53BA9C69-A49F-B045-968B-DC6C22A4655F}">
      <text>
        <r>
          <rPr>
            <sz val="10"/>
            <color indexed="81"/>
            <rFont val="Century Gothic"/>
            <family val="2"/>
          </rPr>
          <t>8. Signos o síntomas presentados por los casos</t>
        </r>
      </text>
    </comment>
    <comment ref="D33" authorId="0" shapeId="0" xr:uid="{8EF42F41-E7C8-204E-9D89-2771E5EB7AB4}">
      <text>
        <r>
          <rPr>
            <sz val="10"/>
            <color indexed="81"/>
            <rFont val="Century Gothic"/>
            <family val="2"/>
          </rPr>
          <t>9. Número de casos que presentaron ese signo o síntoma</t>
        </r>
      </text>
    </comment>
    <comment ref="F48" authorId="0" shapeId="0" xr:uid="{C16633E0-B491-2A46-A116-AD939B1C346A}">
      <text>
        <r>
          <rPr>
            <sz val="10"/>
            <color indexed="81"/>
            <rFont val="Century Gothic"/>
            <family val="2"/>
          </rPr>
          <t xml:space="preserve">10. Número de hombres que consumieron el(los) alimento(s), según grupos de edad </t>
        </r>
      </text>
    </comment>
    <comment ref="G48" authorId="0" shapeId="0" xr:uid="{C380233C-0640-E04A-AAD6-50AD8BA700CC}">
      <text>
        <r>
          <rPr>
            <sz val="10"/>
            <color indexed="81"/>
            <rFont val="Century Gothic"/>
            <family val="2"/>
          </rPr>
          <t>11. Número de casos  que pertenezcan al sexo masculino, según grupos de edad</t>
        </r>
      </text>
    </comment>
    <comment ref="I48" authorId="0" shapeId="0" xr:uid="{B8E1C7C3-0868-2248-9239-E43C45CC7C02}">
      <text>
        <r>
          <rPr>
            <sz val="10"/>
            <color indexed="81"/>
            <rFont val="Century Gothic"/>
            <family val="2"/>
          </rPr>
          <t>12. Total de mujeres que consumieron el(los) alimento(s), según grupos de edad</t>
        </r>
      </text>
    </comment>
    <comment ref="K48" authorId="0" shapeId="0" xr:uid="{870AF3DD-D552-F249-8140-3DD4193A0585}">
      <text>
        <r>
          <rPr>
            <sz val="10"/>
            <color indexed="81"/>
            <rFont val="Century Gothic"/>
            <family val="2"/>
          </rPr>
          <t>13. Número de casos  que pertenezcan al sexo femenino, según grupos de edad</t>
        </r>
      </text>
    </comment>
    <comment ref="D63" authorId="0" shapeId="0" xr:uid="{13C6590B-CA8F-704F-88A0-A1234F86CF36}">
      <text>
        <r>
          <rPr>
            <sz val="10"/>
            <color indexed="81"/>
            <rFont val="Century Gothic"/>
            <family val="2"/>
          </rPr>
          <t xml:space="preserve">14. Si esto ocurre antes de una hora, marcar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</t>
        </r>
        <r>
          <rPr>
            <b/>
            <sz val="10"/>
            <color indexed="81"/>
            <rFont val="Century Gothic"/>
            <family val="2"/>
          </rPr>
          <t>Minutos</t>
        </r>
      </text>
    </comment>
    <comment ref="F63" authorId="0" shapeId="0" xr:uid="{DBC0BC47-D6EC-AD4C-AA7A-2316903F9BA4}">
      <text>
        <r>
          <rPr>
            <sz val="10"/>
            <color indexed="81"/>
            <rFont val="Century Gothic"/>
            <family val="2"/>
          </rPr>
          <t xml:space="preserve">15. Si esto ocurre antes de 24 horas, marcar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</t>
        </r>
        <r>
          <rPr>
            <b/>
            <sz val="10"/>
            <color indexed="81"/>
            <rFont val="Century Gothic"/>
            <family val="2"/>
          </rPr>
          <t>Horas</t>
        </r>
      </text>
    </comment>
    <comment ref="H63" authorId="0" shapeId="0" xr:uid="{45A7CA61-00E4-7245-8A5D-096CEEA73DBA}">
      <text>
        <r>
          <rPr>
            <sz val="10"/>
            <color indexed="81"/>
            <rFont val="Century Gothic"/>
            <family val="2"/>
          </rPr>
          <t xml:space="preserve">16. Si esto ocurre mayor a 24 horas,  marcar con </t>
        </r>
        <r>
          <rPr>
            <b/>
            <sz val="10"/>
            <color indexed="81"/>
            <rFont val="Century Gothic"/>
            <family val="2"/>
          </rPr>
          <t>X Días.</t>
        </r>
      </text>
    </comment>
    <comment ref="E67" authorId="0" shapeId="0" xr:uid="{1EF65413-67C1-4A4C-B262-E9187054B1F0}">
      <text>
        <r>
          <rPr>
            <sz val="10"/>
            <color indexed="81"/>
            <rFont val="Century Gothic"/>
            <family val="2"/>
          </rPr>
          <t xml:space="preserve">17. Número de casos que hayan enfermado en ese lapso de tiempo, </t>
        </r>
        <r>
          <rPr>
            <b/>
            <sz val="10"/>
            <color indexed="81"/>
            <rFont val="Century Gothic"/>
            <family val="2"/>
          </rPr>
          <t>si no se presentan casos, dejar el valor "0"</t>
        </r>
      </text>
    </comment>
    <comment ref="P87" authorId="0" shapeId="0" xr:uid="{61FCB2F4-5E31-E849-994C-80FA49D75DC2}">
      <text>
        <r>
          <rPr>
            <sz val="10"/>
            <color indexed="81"/>
            <rFont val="Century Gothic"/>
            <family val="2"/>
          </rPr>
          <t>18. Digitar el tiempo mínimo en el que el primer caso desarrolló signos y síntomas (según selección de minutos/horas/días)</t>
        </r>
      </text>
    </comment>
    <comment ref="P88" authorId="0" shapeId="0" xr:uid="{9F275B96-AC9E-AF40-A546-AAAD709FA275}">
      <text>
        <r>
          <rPr>
            <sz val="10"/>
            <color indexed="81"/>
            <rFont val="Century Gothic"/>
            <family val="2"/>
          </rPr>
          <t>19. Digitar el tiempo en el que el último caso desarrolló signos y síntomas (según selección de minutos/horas/días)</t>
        </r>
      </text>
    </comment>
    <comment ref="L90" authorId="0" shapeId="0" xr:uid="{C0407365-496A-3748-8586-E0A59436AA09}">
      <text>
        <r>
          <rPr>
            <b/>
            <sz val="10"/>
            <color indexed="81"/>
            <rFont val="Century Gothic"/>
            <family val="2"/>
          </rPr>
          <t>NOTA.</t>
        </r>
        <r>
          <rPr>
            <sz val="10"/>
            <color indexed="81"/>
            <rFont val="Century Gothic"/>
            <family val="2"/>
          </rPr>
          <t xml:space="preserve"> El valor de la mediana aquí calculada puede variar según la metodología, pero este es un dato aproximado.</t>
        </r>
      </text>
    </comment>
    <comment ref="L103" authorId="0" shapeId="0" xr:uid="{A4436724-6034-C84F-8D98-F999A6C7D39A}">
      <text>
        <r>
          <rPr>
            <sz val="10"/>
            <color indexed="81"/>
            <rFont val="Century Gothic"/>
            <family val="2"/>
          </rPr>
          <t xml:space="preserve">22. Seleccione con </t>
        </r>
        <r>
          <rPr>
            <b/>
            <sz val="10"/>
            <color indexed="81"/>
            <rFont val="Century Gothic"/>
            <family val="2"/>
          </rPr>
          <t xml:space="preserve">X </t>
        </r>
        <r>
          <rPr>
            <sz val="10"/>
            <color indexed="81"/>
            <rFont val="Century Gothic"/>
            <family val="2"/>
          </rPr>
          <t>el intervalo de confianza</t>
        </r>
      </text>
    </comment>
    <comment ref="C104" authorId="0" shapeId="0" xr:uid="{0B3FC657-A241-7848-8BEE-C17E03ED4A41}">
      <text>
        <r>
          <rPr>
            <sz val="11"/>
            <color indexed="81"/>
            <rFont val="Century Gothic"/>
            <family val="2"/>
          </rPr>
          <t xml:space="preserve">Se aplica en situaciones donde es posible identificar a la </t>
        </r>
        <r>
          <rPr>
            <b/>
            <sz val="11"/>
            <color indexed="81"/>
            <rFont val="Century Gothic"/>
            <family val="2"/>
          </rPr>
          <t>población expuesta</t>
        </r>
        <r>
          <rPr>
            <sz val="11"/>
            <color indexed="81"/>
            <rFont val="Century Gothic"/>
            <family val="2"/>
          </rPr>
          <t xml:space="preserve"> (sanos y enfermos) y se estudia qué factores de riesgo tuvieron en el pasado que hayan podido provocar la enfermedad.</t>
        </r>
        <r>
          <rPr>
            <b/>
            <sz val="11"/>
            <color indexed="81"/>
            <rFont val="Century Gothic"/>
            <family val="2"/>
          </rPr>
          <t xml:space="preserve"> (Usar para población abierta)</t>
        </r>
      </text>
    </comment>
    <comment ref="E104" authorId="0" shapeId="0" xr:uid="{6D464671-1F87-4E44-A809-903D44795164}">
      <text>
        <r>
          <rPr>
            <sz val="10"/>
            <color indexed="81"/>
            <rFont val="Century Gothic"/>
            <family val="2"/>
          </rPr>
          <t xml:space="preserve">20.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si el  estudio es de cohortes</t>
        </r>
      </text>
    </comment>
    <comment ref="C105" authorId="0" shapeId="0" xr:uid="{F6154F20-B1C2-4841-B170-24D24DF1AF9B}">
      <text>
        <r>
          <rPr>
            <sz val="11"/>
            <color indexed="81"/>
            <rFont val="Century Gothic"/>
            <family val="2"/>
          </rPr>
          <t>Se aplica cuando todos los que estuvieron sometidos al riesgo no pueden ser identificados o solamente una proporción de personas enfermas (casos) y personas sanas (controles) pueden ser interrogadas acerca de su exposición.</t>
        </r>
        <r>
          <rPr>
            <b/>
            <sz val="11"/>
            <color indexed="81"/>
            <rFont val="Century Gothic"/>
            <family val="2"/>
          </rPr>
          <t xml:space="preserve"> (Usar para población cerrada o confinada)</t>
        </r>
      </text>
    </comment>
    <comment ref="E105" authorId="0" shapeId="0" xr:uid="{D1CBA2D7-F4F1-E848-ADFD-88D99780D51C}">
      <text>
        <r>
          <rPr>
            <sz val="10"/>
            <color indexed="81"/>
            <rFont val="Century Gothic"/>
            <family val="2"/>
          </rPr>
          <t xml:space="preserve">21.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si el  estudio es de casos y controles</t>
        </r>
      </text>
    </comment>
    <comment ref="C107" authorId="0" shapeId="0" xr:uid="{B4A4ED22-B03E-C040-B571-0D9B8EDC8033}">
      <text>
        <r>
          <rPr>
            <sz val="10"/>
            <color indexed="81"/>
            <rFont val="Century Gothic"/>
            <family val="2"/>
          </rPr>
          <t>23. Escribir cada uno de los alimentos implicados</t>
        </r>
      </text>
    </comment>
    <comment ref="D109" authorId="0" shapeId="0" xr:uid="{35FFB524-8DE2-6940-90EB-1FB53D572E3A}">
      <text>
        <r>
          <rPr>
            <sz val="10"/>
            <color indexed="81"/>
            <rFont val="Century Gothic"/>
            <family val="2"/>
          </rPr>
          <t>24. Número de personas que</t>
        </r>
        <r>
          <rPr>
            <b/>
            <sz val="10"/>
            <color indexed="81"/>
            <rFont val="Century Gothic"/>
            <family val="2"/>
          </rPr>
          <t xml:space="preserve"> SI </t>
        </r>
        <r>
          <rPr>
            <sz val="10"/>
            <color indexed="81"/>
            <rFont val="Century Gothic"/>
            <family val="2"/>
          </rPr>
          <t xml:space="preserve">enfermaron y </t>
        </r>
        <r>
          <rPr>
            <b/>
            <sz val="10"/>
            <color indexed="81"/>
            <rFont val="Century Gothic"/>
            <family val="2"/>
          </rPr>
          <t>SI</t>
        </r>
        <r>
          <rPr>
            <sz val="10"/>
            <color indexed="81"/>
            <rFont val="Century Gothic"/>
            <family val="2"/>
          </rPr>
          <t xml:space="preserve"> consumieron el alimento</t>
        </r>
      </text>
    </comment>
    <comment ref="E109" authorId="0" shapeId="0" xr:uid="{1A69EE69-2BF0-7142-A4EF-7E92E5101628}">
      <text>
        <r>
          <rPr>
            <sz val="10"/>
            <color indexed="81"/>
            <rFont val="Century Gothic"/>
            <family val="2"/>
          </rPr>
          <t>25. Número de personas que</t>
        </r>
        <r>
          <rPr>
            <b/>
            <sz val="10"/>
            <color indexed="81"/>
            <rFont val="Century Gothic"/>
            <family val="2"/>
          </rPr>
          <t xml:space="preserve"> NO </t>
        </r>
        <r>
          <rPr>
            <sz val="10"/>
            <color indexed="81"/>
            <rFont val="Century Gothic"/>
            <family val="2"/>
          </rPr>
          <t xml:space="preserve">enfermaron y </t>
        </r>
        <r>
          <rPr>
            <b/>
            <sz val="10"/>
            <color indexed="81"/>
            <rFont val="Century Gothic"/>
            <family val="2"/>
          </rPr>
          <t>SI</t>
        </r>
        <r>
          <rPr>
            <sz val="10"/>
            <color indexed="81"/>
            <rFont val="Century Gothic"/>
            <family val="2"/>
          </rPr>
          <t xml:space="preserve"> consumieron el alimento</t>
        </r>
      </text>
    </comment>
    <comment ref="H109" authorId="0" shapeId="0" xr:uid="{F71566C6-A1E0-6749-A561-C7E6EFDDD98A}">
      <text>
        <r>
          <rPr>
            <sz val="10"/>
            <color indexed="81"/>
            <rFont val="Century Gothic"/>
            <family val="2"/>
          </rPr>
          <t>26. Número de personas que</t>
        </r>
        <r>
          <rPr>
            <b/>
            <sz val="10"/>
            <color indexed="81"/>
            <rFont val="Century Gothic"/>
            <family val="2"/>
          </rPr>
          <t xml:space="preserve"> SI </t>
        </r>
        <r>
          <rPr>
            <sz val="10"/>
            <color indexed="81"/>
            <rFont val="Century Gothic"/>
            <family val="2"/>
          </rPr>
          <t xml:space="preserve">enfermaron y </t>
        </r>
        <r>
          <rPr>
            <b/>
            <sz val="10"/>
            <color indexed="81"/>
            <rFont val="Century Gothic"/>
            <family val="2"/>
          </rPr>
          <t>NO</t>
        </r>
        <r>
          <rPr>
            <sz val="10"/>
            <color indexed="81"/>
            <rFont val="Century Gothic"/>
            <family val="2"/>
          </rPr>
          <t xml:space="preserve"> consumieron el alimento</t>
        </r>
      </text>
    </comment>
    <comment ref="I109" authorId="0" shapeId="0" xr:uid="{2D2DFD8A-A801-A24F-AB5B-87119DE48891}">
      <text>
        <r>
          <rPr>
            <sz val="10"/>
            <color indexed="81"/>
            <rFont val="Century Gothic"/>
            <family val="2"/>
          </rPr>
          <t xml:space="preserve">27. Número de personas que </t>
        </r>
        <r>
          <rPr>
            <b/>
            <sz val="10"/>
            <color indexed="81"/>
            <rFont val="Century Gothic"/>
            <family val="2"/>
          </rPr>
          <t xml:space="preserve">NO </t>
        </r>
        <r>
          <rPr>
            <sz val="10"/>
            <color indexed="81"/>
            <rFont val="Century Gothic"/>
            <family val="2"/>
          </rPr>
          <t xml:space="preserve">enfermaron y </t>
        </r>
        <r>
          <rPr>
            <b/>
            <sz val="10"/>
            <color indexed="81"/>
            <rFont val="Century Gothic"/>
            <family val="2"/>
          </rPr>
          <t>NO</t>
        </r>
        <r>
          <rPr>
            <sz val="10"/>
            <color indexed="81"/>
            <rFont val="Century Gothic"/>
            <family val="2"/>
          </rPr>
          <t xml:space="preserve"> consumieron el alimento</t>
        </r>
      </text>
    </comment>
    <comment ref="C132" authorId="0" shapeId="0" xr:uid="{F6C67F46-AE63-1C4F-AAA8-33B411F5981C}">
      <text>
        <r>
          <rPr>
            <sz val="10"/>
            <color indexed="81"/>
            <rFont val="Century Gothic"/>
            <family val="2"/>
          </rPr>
          <t>28. Escribir cada uno de los alimentos implicados</t>
        </r>
      </text>
    </comment>
    <comment ref="F132" authorId="0" shapeId="0" xr:uid="{A4D287EA-6D9D-1E4A-B5D5-4ED06416C2A9}">
      <text>
        <r>
          <rPr>
            <sz val="10"/>
            <color indexed="81"/>
            <rFont val="Century Gothic"/>
            <family val="2"/>
          </rPr>
          <t>29. Para cada alimento digite el número de casos que lo consumieron</t>
        </r>
      </text>
    </comment>
    <comment ref="E152" authorId="0" shapeId="0" xr:uid="{8D3ED668-78A6-5E46-92E1-FF7D3F8C49E3}">
      <text>
        <r>
          <rPr>
            <sz val="10"/>
            <color indexed="81"/>
            <rFont val="Century Gothic"/>
            <family val="2"/>
          </rPr>
          <t xml:space="preserve">30.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el tipo de establecimiento o lugar de consumo del alimento implicado</t>
        </r>
      </text>
    </comment>
    <comment ref="I152" authorId="0" shapeId="0" xr:uid="{5DFF4285-C6BD-B343-8994-5D3FC889E405}">
      <text>
        <r>
          <rPr>
            <sz val="10"/>
            <color indexed="81"/>
            <rFont val="Century Gothic"/>
            <family val="2"/>
          </rPr>
          <t xml:space="preserve">30.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el tipo de establecimiento o lugar de consumo del alimento implicado</t>
        </r>
      </text>
    </comment>
    <comment ref="O152" authorId="0" shapeId="0" xr:uid="{7DB8E431-37FE-EB4E-95ED-A1AA1D74DCEE}">
      <text>
        <r>
          <rPr>
            <sz val="10"/>
            <color indexed="81"/>
            <rFont val="Century Gothic"/>
            <family val="2"/>
          </rPr>
          <t xml:space="preserve">31.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si el establecimiento educativo es beneficiario del programa PAE</t>
        </r>
      </text>
    </comment>
    <comment ref="E153" authorId="0" shapeId="0" xr:uid="{BBC432EE-8655-5848-BC0F-C9358CEDFD9A}">
      <text>
        <r>
          <rPr>
            <sz val="10"/>
            <color indexed="81"/>
            <rFont val="Century Gothic"/>
            <family val="2"/>
          </rPr>
          <t xml:space="preserve">30.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el tipo de establecimiento o lugar de consumo del alimento implicado</t>
        </r>
      </text>
    </comment>
    <comment ref="I153" authorId="0" shapeId="0" xr:uid="{F86DAA1F-67F0-C444-BE1E-E72241A7F7E5}">
      <text>
        <r>
          <rPr>
            <sz val="10"/>
            <color indexed="81"/>
            <rFont val="Century Gothic"/>
            <family val="2"/>
          </rPr>
          <t xml:space="preserve">30.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el tipo de establecimiento o lugar de consumo del alimento implicado</t>
        </r>
      </text>
    </comment>
    <comment ref="O153" authorId="0" shapeId="0" xr:uid="{430FE8D1-6CA3-DA49-8F63-D1467FE65244}">
      <text>
        <r>
          <rPr>
            <sz val="10"/>
            <color indexed="81"/>
            <rFont val="Century Gothic"/>
            <family val="2"/>
          </rPr>
          <t>31. Seleccione con X si el establecimiento educativo es beneficiario del programa PAE</t>
        </r>
      </text>
    </comment>
    <comment ref="E154" authorId="0" shapeId="0" xr:uid="{85C4752E-296B-5549-8BB8-2F7E69268CBD}">
      <text>
        <r>
          <rPr>
            <sz val="10"/>
            <color indexed="81"/>
            <rFont val="Century Gothic"/>
            <family val="2"/>
          </rPr>
          <t xml:space="preserve">30.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el tipo de establecimiento o lugar de consumo del alimento implicado</t>
        </r>
      </text>
    </comment>
    <comment ref="I154" authorId="0" shapeId="0" xr:uid="{9B64BE03-4515-D14E-8A09-97C9771587FA}">
      <text>
        <r>
          <rPr>
            <sz val="10"/>
            <color indexed="81"/>
            <rFont val="Century Gothic"/>
            <family val="2"/>
          </rPr>
          <t xml:space="preserve">30.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el tipo de establecimiento o lugar de consumo del alimento implicado</t>
        </r>
      </text>
    </comment>
    <comment ref="E155" authorId="0" shapeId="0" xr:uid="{9FA557AC-24C4-1D48-B6BF-70ADBE5B23C9}">
      <text>
        <r>
          <rPr>
            <sz val="10"/>
            <color indexed="81"/>
            <rFont val="Century Gothic"/>
            <family val="2"/>
          </rPr>
          <t xml:space="preserve">30.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el tipo de establecimiento o lugar de consumo del alimento implicado</t>
        </r>
      </text>
    </comment>
    <comment ref="I155" authorId="0" shapeId="0" xr:uid="{29A1DAFE-7C62-7B45-AD21-48F5B27408C5}">
      <text>
        <r>
          <rPr>
            <sz val="10"/>
            <color indexed="81"/>
            <rFont val="Century Gothic"/>
            <family val="2"/>
          </rPr>
          <t xml:space="preserve">30.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el tipo de establecimiento o lugar de consumo del alimento implicado</t>
        </r>
      </text>
    </comment>
    <comment ref="E156" authorId="0" shapeId="0" xr:uid="{7AF3A216-DFDF-2740-A39E-6D765296144A}">
      <text>
        <r>
          <rPr>
            <sz val="10"/>
            <color indexed="81"/>
            <rFont val="Century Gothic"/>
            <family val="2"/>
          </rPr>
          <t xml:space="preserve">30.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el tipo de establecimiento o lugar de consumo del alimento implicado</t>
        </r>
      </text>
    </comment>
    <comment ref="I156" authorId="0" shapeId="0" xr:uid="{9A7CA1FE-E543-FB48-A13C-31E3EEDF9472}">
      <text>
        <r>
          <rPr>
            <sz val="10"/>
            <color indexed="81"/>
            <rFont val="Century Gothic"/>
            <family val="2"/>
          </rPr>
          <t xml:space="preserve">30.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el tipo de establecimiento o lugar de consumo del alimento implicado</t>
        </r>
      </text>
    </comment>
    <comment ref="L156" authorId="0" shapeId="0" xr:uid="{CEC34D4A-916D-1F44-A4DE-A2ED921CB033}">
      <text>
        <r>
          <rPr>
            <sz val="10"/>
            <color indexed="81"/>
            <rFont val="Century Gothic"/>
            <family val="2"/>
          </rPr>
          <t>32. Si se seleccionó otro, escribir el tipo de establecimiento o lugar de consumo del alimento implicado</t>
        </r>
      </text>
    </comment>
    <comment ref="C166" authorId="0" shapeId="0" xr:uid="{A7D5056F-6441-0642-8B66-BFB72E146993}">
      <text>
        <r>
          <rPr>
            <sz val="10"/>
            <color indexed="81"/>
            <rFont val="Century Gothic"/>
            <family val="2"/>
          </rPr>
          <t>37. Fecha en que se recolecta la muestra, formato dd/mm/año</t>
        </r>
      </text>
    </comment>
    <comment ref="D166" authorId="0" shapeId="0" xr:uid="{53C18A32-51D0-C441-93CE-A4305E7F71FC}">
      <text>
        <r>
          <rPr>
            <sz val="10"/>
            <color indexed="81"/>
            <rFont val="Century Gothic"/>
            <family val="2"/>
          </rPr>
          <t>38. Nombre y apellidos de la persona a quien se le toma la muestra</t>
        </r>
      </text>
    </comment>
    <comment ref="F166" authorId="0" shapeId="0" xr:uid="{9117360C-E462-5C43-9D19-C8624B2998EF}">
      <text>
        <r>
          <rPr>
            <sz val="10"/>
            <color indexed="81"/>
            <rFont val="Century Gothic"/>
            <family val="2"/>
          </rPr>
          <t>39. Tipo y número identificación de la persona a quien se le toma muestra</t>
        </r>
      </text>
    </comment>
    <comment ref="G166" authorId="0" shapeId="0" xr:uid="{D1A98101-9D05-9C4A-8852-0ED360CE6D80}">
      <text>
        <r>
          <rPr>
            <sz val="10"/>
            <color indexed="81"/>
            <rFont val="Century Gothic"/>
            <family val="2"/>
          </rPr>
          <t>40. Edad de la persona a quien se le toma la muestra</t>
        </r>
      </text>
    </comment>
    <comment ref="H166" authorId="0" shapeId="0" xr:uid="{C54455AA-17A6-FB4E-B9FE-DB2720E5910D}">
      <text>
        <r>
          <rPr>
            <sz val="10"/>
            <color indexed="81"/>
            <rFont val="Century Gothic"/>
            <family val="2"/>
          </rPr>
          <t xml:space="preserve">41. Seleccionar con </t>
        </r>
        <r>
          <rPr>
            <b/>
            <sz val="10"/>
            <color indexed="81"/>
            <rFont val="Century Gothic"/>
            <family val="2"/>
          </rPr>
          <t xml:space="preserve">X </t>
        </r>
        <r>
          <rPr>
            <sz val="10"/>
            <color indexed="81"/>
            <rFont val="Century Gothic"/>
            <family val="2"/>
          </rPr>
          <t>si a la persona se le ha realizado o no tratamiento alguno</t>
        </r>
      </text>
    </comment>
    <comment ref="J166" authorId="0" shapeId="0" xr:uid="{79E10DAC-2002-EF4F-980F-5E0857B28BD1}">
      <text>
        <r>
          <rPr>
            <sz val="10"/>
            <color indexed="81"/>
            <rFont val="Century Gothic"/>
            <family val="2"/>
          </rPr>
          <t>42. Escribir el tipo de muestra: materia fecal, vómito, sangre, suero sanguíneo, orina, líquido cefalorraquídeo, lavado gástrico, lavado o frotis de manos, etc</t>
        </r>
      </text>
    </comment>
    <comment ref="L166" authorId="0" shapeId="0" xr:uid="{8D7085E3-F4AC-BA43-8CAC-ED9157D517B6}">
      <text>
        <r>
          <rPr>
            <sz val="10"/>
            <color indexed="81"/>
            <rFont val="Century Gothic"/>
            <family val="2"/>
          </rPr>
          <t>43. Escribir el tipo de análisis: microbiológico, virológico, parasitológico, toxicológico, etc.</t>
        </r>
      </text>
    </comment>
    <comment ref="N166" authorId="0" shapeId="0" xr:uid="{F00BBBB1-B895-2443-9510-BC6B08909A19}">
      <text>
        <r>
          <rPr>
            <sz val="10"/>
            <color indexed="81"/>
            <rFont val="Century Gothic"/>
            <family val="2"/>
          </rPr>
          <t>44. Escribir la institución  encargada de realizar el análisis de laboratorio</t>
        </r>
      </text>
    </comment>
    <comment ref="P166" authorId="0" shapeId="0" xr:uid="{39DA79F2-D695-6E42-A32A-FD6E45C9B600}">
      <text>
        <r>
          <rPr>
            <sz val="10"/>
            <color indexed="81"/>
            <rFont val="Century Gothic"/>
            <family val="2"/>
          </rPr>
          <t>45. Escribir los resultados del análisis de laboratorio.</t>
        </r>
      </text>
    </comment>
    <comment ref="C178" authorId="0" shapeId="0" xr:uid="{AC255E51-CDBA-FF49-BEC9-59A7F724970D}">
      <text>
        <r>
          <rPr>
            <sz val="10"/>
            <color indexed="81"/>
            <rFont val="Century Gothic"/>
            <family val="2"/>
          </rPr>
          <t>37. Fecha en que se recolecta la muestra, formato dd/mm/año</t>
        </r>
      </text>
    </comment>
    <comment ref="D178" authorId="0" shapeId="0" xr:uid="{8EA7A62E-E738-5848-BFDD-98880B1427EF}">
      <text>
        <r>
          <rPr>
            <sz val="10"/>
            <color indexed="81"/>
            <rFont val="Century Gothic"/>
            <family val="2"/>
          </rPr>
          <t>38. Nombre y apellidos de la persona a quien se le toma la muestra</t>
        </r>
      </text>
    </comment>
    <comment ref="F178" authorId="0" shapeId="0" xr:uid="{BCCA2CB2-7E09-C74E-A631-218496D210C9}">
      <text>
        <r>
          <rPr>
            <sz val="10"/>
            <color indexed="81"/>
            <rFont val="Century Gothic"/>
            <family val="2"/>
          </rPr>
          <t>39. Tipo y número identificación de la persona a quien se le toma muestra</t>
        </r>
      </text>
    </comment>
    <comment ref="G178" authorId="0" shapeId="0" xr:uid="{81535596-1ADD-2246-800D-2A0A108035C7}">
      <text>
        <r>
          <rPr>
            <sz val="10"/>
            <color indexed="81"/>
            <rFont val="Century Gothic"/>
            <family val="2"/>
          </rPr>
          <t>40. Edad de la persona a quien se le toma la muestra</t>
        </r>
      </text>
    </comment>
    <comment ref="H178" authorId="0" shapeId="0" xr:uid="{5C54075F-52CF-7949-B29B-3C124A0489C8}">
      <text>
        <r>
          <rPr>
            <sz val="10"/>
            <color indexed="81"/>
            <rFont val="Century Gothic"/>
            <family val="2"/>
          </rPr>
          <t xml:space="preserve">41. Seleccionar con </t>
        </r>
        <r>
          <rPr>
            <b/>
            <sz val="10"/>
            <color indexed="81"/>
            <rFont val="Century Gothic"/>
            <family val="2"/>
          </rPr>
          <t xml:space="preserve">X </t>
        </r>
        <r>
          <rPr>
            <sz val="10"/>
            <color indexed="81"/>
            <rFont val="Century Gothic"/>
            <family val="2"/>
          </rPr>
          <t>si a la persona se le ha realizado o no tratamiento alguno</t>
        </r>
      </text>
    </comment>
    <comment ref="J178" authorId="0" shapeId="0" xr:uid="{3E27F106-4CF3-0743-9FBA-99C28FE0EBCF}">
      <text>
        <r>
          <rPr>
            <sz val="10"/>
            <color indexed="81"/>
            <rFont val="Century Gothic"/>
            <family val="2"/>
          </rPr>
          <t>42. Escribir el tipo de muestra: materia fecal, vómito, sangre, suero sanguíneo, orina, líquido cefalorraquídeo, lavado gástrico, lavado o frotis de manos, etc</t>
        </r>
      </text>
    </comment>
    <comment ref="L178" authorId="0" shapeId="0" xr:uid="{AA8DA1BF-25CC-6A4B-9ED5-C3ED31319672}">
      <text>
        <r>
          <rPr>
            <sz val="10"/>
            <color indexed="81"/>
            <rFont val="Century Gothic"/>
            <family val="2"/>
          </rPr>
          <t>43. Escribir el tipo de análisis: microbiológico, virológico, parasitológico, toxicológico, etc.</t>
        </r>
      </text>
    </comment>
    <comment ref="N178" authorId="0" shapeId="0" xr:uid="{821795F3-B186-0F45-96C0-DE142F001708}">
      <text>
        <r>
          <rPr>
            <sz val="10"/>
            <color indexed="81"/>
            <rFont val="Century Gothic"/>
            <family val="2"/>
          </rPr>
          <t>44. Escribir la institución  encargada de realizar el análisis de laboratorio</t>
        </r>
      </text>
    </comment>
    <comment ref="P178" authorId="0" shapeId="0" xr:uid="{9D867EEB-814D-4441-AA97-BB34F1870468}">
      <text>
        <r>
          <rPr>
            <sz val="10"/>
            <color indexed="81"/>
            <rFont val="Century Gothic"/>
            <family val="2"/>
          </rPr>
          <t>45. Escribir los resultados del análisis de laboratorio.</t>
        </r>
      </text>
    </comment>
    <comment ref="C190" authorId="0" shapeId="0" xr:uid="{56221198-B6F5-AC4F-9AC6-31A213E03065}">
      <text>
        <r>
          <rPr>
            <sz val="10"/>
            <color indexed="81"/>
            <rFont val="Century Gothic"/>
            <family val="2"/>
          </rPr>
          <t>37. Fecha en que se recolecta la muestra, formato dd/mm/año</t>
        </r>
      </text>
    </comment>
    <comment ref="D190" authorId="0" shapeId="0" xr:uid="{5D5C1599-9444-F14C-AC7A-2DFF81AEED79}">
      <text>
        <r>
          <rPr>
            <sz val="10"/>
            <color indexed="81"/>
            <rFont val="Century Gothic"/>
            <family val="2"/>
          </rPr>
          <t>46. Nombre del alimento implicado o superficie inerte a analizar</t>
        </r>
      </text>
    </comment>
    <comment ref="F190" authorId="0" shapeId="0" xr:uid="{CA96F721-FBB6-F74D-A354-DBEE9A71FE98}">
      <text>
        <r>
          <rPr>
            <sz val="10"/>
            <color indexed="81"/>
            <rFont val="Century Gothic"/>
            <family val="2"/>
          </rPr>
          <t xml:space="preserve">47. Seleccione con </t>
        </r>
        <r>
          <rPr>
            <b/>
            <sz val="10"/>
            <color indexed="81"/>
            <rFont val="Century Gothic"/>
            <family val="2"/>
          </rPr>
          <t xml:space="preserve">X </t>
        </r>
        <r>
          <rPr>
            <sz val="10"/>
            <color indexed="81"/>
            <rFont val="Century Gothic"/>
            <family val="2"/>
          </rPr>
          <t>el tipo de muestra</t>
        </r>
      </text>
    </comment>
    <comment ref="J190" authorId="0" shapeId="0" xr:uid="{D1CE679A-37BA-1242-A3FC-3F0844A1A885}">
      <text>
        <r>
          <rPr>
            <sz val="10"/>
            <color indexed="81"/>
            <rFont val="Century Gothic"/>
            <family val="2"/>
          </rPr>
          <t>43. Escribir el tipo de análisis: microbiológico, virológico, parasitológico, toxicológico, etc.</t>
        </r>
      </text>
    </comment>
    <comment ref="N190" authorId="0" shapeId="0" xr:uid="{26C1EBAD-1A1A-3B4D-9E1F-CB9E059B32A6}">
      <text>
        <r>
          <rPr>
            <sz val="10"/>
            <color indexed="81"/>
            <rFont val="Century Gothic"/>
            <family val="2"/>
          </rPr>
          <t>44. Escribir la institución  encargada de realizar el análisis de laboratorio</t>
        </r>
      </text>
    </comment>
    <comment ref="P190" authorId="0" shapeId="0" xr:uid="{662E0B0A-7C19-8F40-ADE3-783A4484180B}">
      <text>
        <r>
          <rPr>
            <sz val="10"/>
            <color indexed="81"/>
            <rFont val="Century Gothic"/>
            <family val="2"/>
          </rPr>
          <t>45. Escribir los resultados del análisis de laboratorio.</t>
        </r>
      </text>
    </comment>
    <comment ref="C200" authorId="0" shapeId="0" xr:uid="{D98E4C04-9DF6-2741-B70A-AE8F3D263FAB}">
      <text>
        <r>
          <rPr>
            <sz val="10"/>
            <color indexed="81"/>
            <rFont val="Century Gothic"/>
            <family val="2"/>
          </rPr>
          <t>49. Escribir las soluciones a corto y largo plazo que permitan identificar y controlar los factores de riesgo</t>
        </r>
      </text>
    </comment>
    <comment ref="C213" authorId="0" shapeId="0" xr:uid="{D742C51E-686D-D743-B66D-2A445FB99551}">
      <text>
        <r>
          <rPr>
            <sz val="10"/>
            <color indexed="81"/>
            <rFont val="Century Gothic"/>
            <family val="2"/>
          </rPr>
          <t>50. Una vez caracterizado el brote, elaborar las conclusiones teniendo en cuenta los criterios epidemiológicos y de laboratorio</t>
        </r>
      </text>
    </comment>
    <comment ref="G226" authorId="0" shapeId="0" xr:uid="{38FBD048-6D5B-A441-8FCB-45B2CC004C7E}">
      <text>
        <r>
          <rPr>
            <sz val="10"/>
            <color indexed="81"/>
            <rFont val="Century Gothic"/>
            <family val="2"/>
          </rPr>
          <t>51. Datos de la(s) persona(s) responsables de la elaboración del informe con el fin de contactarla en caso de ser necesario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P5" authorId="0" shapeId="0" xr:uid="{5FDC217B-1546-DF42-A1F0-6686C5993FF3}">
      <text>
        <r>
          <rPr>
            <sz val="10"/>
            <color indexed="81"/>
            <rFont val="Century Gothic"/>
            <family val="2"/>
          </rPr>
          <t>1. Logo Secretaría departamental/distrital de salud que realiza el informe</t>
        </r>
      </text>
    </comment>
    <comment ref="G16" authorId="0" shapeId="0" xr:uid="{C12C1BCB-5B4D-0948-B3E0-8E9DC6F1466F}">
      <text>
        <r>
          <rPr>
            <sz val="10"/>
            <color indexed="81"/>
            <rFont val="Century Gothic"/>
            <family val="2"/>
          </rPr>
          <t>5. Fecha en que la entidad territorial recibe el resultado de laboratorio, formato dd/mm/año</t>
        </r>
      </text>
    </comment>
    <comment ref="G18" authorId="0" shapeId="0" xr:uid="{7F7BD1DB-493C-314B-AECA-E2EA5F85C4DE}">
      <text>
        <r>
          <rPr>
            <sz val="10"/>
            <color indexed="81"/>
            <rFont val="Century Gothic"/>
            <family val="2"/>
          </rPr>
          <t>5. Fecha en que la cual la entidad territorial envia el informe final a INS, formato dd/mm/año</t>
        </r>
      </text>
    </comment>
    <comment ref="F23" authorId="0" shapeId="0" xr:uid="{26477FB5-91BC-3748-A7E1-66B9BDA877B8}">
      <text>
        <r>
          <rPr>
            <sz val="10"/>
            <color indexed="81"/>
            <rFont val="Century Gothic"/>
            <family val="2"/>
          </rPr>
          <t>2. Número de personas que estuvieron en riesgo de enfermar (incluye enfermos y no enfermos)</t>
        </r>
      </text>
    </comment>
    <comment ref="J23" authorId="0" shapeId="0" xr:uid="{0FD78D82-9819-5D46-A52B-5D65B826AEED}">
      <text>
        <r>
          <rPr>
            <sz val="10"/>
            <color indexed="81"/>
            <rFont val="Century Gothic"/>
            <family val="2"/>
          </rPr>
          <t>3. Número de personas que presentaron algún signo o síntoma luego de consumir el(los) alimento(s)</t>
        </r>
      </text>
    </comment>
    <comment ref="D25" authorId="0" shapeId="0" xr:uid="{21387C07-F286-4745-8C3A-4C11E8254DD2}">
      <text>
        <r>
          <rPr>
            <sz val="10"/>
            <color indexed="81"/>
            <rFont val="Century Gothic"/>
            <family val="2"/>
          </rPr>
          <t>4. Número de casos que se encuentran vivos</t>
        </r>
      </text>
    </comment>
    <comment ref="G25" authorId="0" shapeId="0" xr:uid="{6F3AC938-E3CA-8648-8212-BAC6A0847439}">
      <text>
        <r>
          <rPr>
            <sz val="10"/>
            <color indexed="81"/>
            <rFont val="Century Gothic"/>
            <family val="2"/>
          </rPr>
          <t>5. Número de casos que fallecieron</t>
        </r>
      </text>
    </comment>
    <comment ref="K25" authorId="0" shapeId="0" xr:uid="{8513FB0A-4DAE-7B42-A58D-E37D7FEE7A10}">
      <text>
        <r>
          <rPr>
            <sz val="10"/>
            <color indexed="81"/>
            <rFont val="Century Gothic"/>
            <family val="2"/>
          </rPr>
          <t>6. Número de casos requirieron hospitalización (mayor a 6 horas)</t>
        </r>
      </text>
    </comment>
    <comment ref="P25" authorId="0" shapeId="0" xr:uid="{D6E86CC7-2935-A44B-A45A-08ABCE852531}">
      <text>
        <r>
          <rPr>
            <sz val="10"/>
            <color indexed="81"/>
            <rFont val="Century Gothic"/>
            <family val="2"/>
          </rPr>
          <t>7. Número de casos que no requirieron hospitalización pero fueron atendidos ambulatoriamente</t>
        </r>
      </text>
    </comment>
    <comment ref="G27" authorId="0" shapeId="0" xr:uid="{24A8D3B0-00A0-704A-96C0-F295C318E079}">
      <text>
        <r>
          <rPr>
            <sz val="10"/>
            <color indexed="81"/>
            <rFont val="Century Gothic"/>
            <family val="2"/>
          </rPr>
          <t xml:space="preserve">8.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la fuente de transmisón identificada</t>
        </r>
      </text>
    </comment>
    <comment ref="K27" authorId="0" shapeId="0" xr:uid="{CCA5F14C-FC9D-4E4B-A845-317353E4B0A5}">
      <text>
        <r>
          <rPr>
            <sz val="10"/>
            <color indexed="81"/>
            <rFont val="Century Gothic"/>
            <family val="2"/>
          </rPr>
          <t xml:space="preserve">8.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la fuente de transmisón identificada</t>
        </r>
      </text>
    </comment>
    <comment ref="P27" authorId="0" shapeId="0" xr:uid="{40720F3C-84A1-774A-9C11-063623FEA728}">
      <text>
        <r>
          <rPr>
            <sz val="10"/>
            <color indexed="81"/>
            <rFont val="Century Gothic"/>
            <family val="2"/>
          </rPr>
          <t xml:space="preserve">9.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el modo de transmisión identificado</t>
        </r>
      </text>
    </comment>
    <comment ref="G28" authorId="0" shapeId="0" xr:uid="{2E2B2CA9-3CBE-074A-9F67-58F0D12B1A47}">
      <text>
        <r>
          <rPr>
            <sz val="10"/>
            <color indexed="81"/>
            <rFont val="Century Gothic"/>
            <family val="2"/>
          </rPr>
          <t xml:space="preserve">8.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la fuente de transmisón identificada</t>
        </r>
      </text>
    </comment>
    <comment ref="K28" authorId="0" shapeId="0" xr:uid="{0B619FAE-A66F-BB4F-9C5B-9B0EACB9EDA2}">
      <text>
        <r>
          <rPr>
            <sz val="10"/>
            <color indexed="81"/>
            <rFont val="Century Gothic"/>
            <family val="2"/>
          </rPr>
          <t xml:space="preserve">8.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la fuente de transmisón identificada</t>
        </r>
      </text>
    </comment>
    <comment ref="P28" authorId="0" shapeId="0" xr:uid="{AD103380-E57C-C540-B755-B7E8C5609C9E}">
      <text>
        <r>
          <rPr>
            <sz val="10"/>
            <color indexed="81"/>
            <rFont val="Century Gothic"/>
            <family val="2"/>
          </rPr>
          <t xml:space="preserve">9.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el modo de transmisión identificado</t>
        </r>
      </text>
    </comment>
    <comment ref="G29" authorId="0" shapeId="0" xr:uid="{AD99F7C3-8B76-3F41-A4FD-32E88BBE98E2}">
      <text>
        <r>
          <rPr>
            <sz val="10"/>
            <color indexed="81"/>
            <rFont val="Century Gothic"/>
            <family val="2"/>
          </rPr>
          <t xml:space="preserve">8.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la fuente de transmisón identificada</t>
        </r>
      </text>
    </comment>
    <comment ref="K29" authorId="0" shapeId="0" xr:uid="{3EC087B7-B484-FA4B-8254-76C78AF815E7}">
      <text>
        <r>
          <rPr>
            <sz val="10"/>
            <color indexed="81"/>
            <rFont val="Century Gothic"/>
            <family val="2"/>
          </rPr>
          <t xml:space="preserve">8.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la fuente de transmisón identificada</t>
        </r>
      </text>
    </comment>
    <comment ref="P29" authorId="0" shapeId="0" xr:uid="{9A2EE2E5-A96C-674C-B760-859B230D1431}">
      <text>
        <r>
          <rPr>
            <sz val="10"/>
            <color indexed="81"/>
            <rFont val="Century Gothic"/>
            <family val="2"/>
          </rPr>
          <t xml:space="preserve">9. Seleccione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el modo de transmisión identificado</t>
        </r>
      </text>
    </comment>
    <comment ref="I31" authorId="0" shapeId="0" xr:uid="{D21A7A92-5CA8-E74C-9F7C-32F67E975249}">
      <text>
        <r>
          <rPr>
            <sz val="10"/>
            <color indexed="81"/>
            <rFont val="Century Gothic"/>
            <family val="2"/>
          </rPr>
          <t>10. Seleccione con una</t>
        </r>
        <r>
          <rPr>
            <b/>
            <sz val="10"/>
            <color indexed="81"/>
            <rFont val="Century Gothic"/>
            <family val="2"/>
          </rPr>
          <t xml:space="preserve"> X</t>
        </r>
        <r>
          <rPr>
            <sz val="10"/>
            <color indexed="81"/>
            <rFont val="Century Gothic"/>
            <family val="2"/>
          </rPr>
          <t xml:space="preserve"> si el estado del brote es cerrado </t>
        </r>
        <r>
          <rPr>
            <b/>
            <sz val="10"/>
            <color indexed="81"/>
            <rFont val="Century Gothic"/>
            <family val="2"/>
          </rPr>
          <t>CON</t>
        </r>
        <r>
          <rPr>
            <sz val="10"/>
            <color indexed="81"/>
            <rFont val="Century Gothic"/>
            <family val="2"/>
          </rPr>
          <t xml:space="preserve"> identificación de agente</t>
        </r>
      </text>
    </comment>
    <comment ref="O31" authorId="0" shapeId="0" xr:uid="{39230022-306F-C141-AFBC-0A03C6432E66}">
      <text>
        <r>
          <rPr>
            <sz val="10"/>
            <color indexed="81"/>
            <rFont val="Century Gothic"/>
            <family val="2"/>
          </rPr>
          <t>12. Seleccione con una</t>
        </r>
        <r>
          <rPr>
            <b/>
            <sz val="10"/>
            <color indexed="81"/>
            <rFont val="Century Gothic"/>
            <family val="2"/>
          </rPr>
          <t xml:space="preserve"> X</t>
        </r>
        <r>
          <rPr>
            <sz val="10"/>
            <color indexed="81"/>
            <rFont val="Century Gothic"/>
            <family val="2"/>
          </rPr>
          <t xml:space="preserve"> si el estado del brote es cerrado </t>
        </r>
        <r>
          <rPr>
            <b/>
            <sz val="10"/>
            <color indexed="81"/>
            <rFont val="Century Gothic"/>
            <family val="2"/>
          </rPr>
          <t>SIN</t>
        </r>
        <r>
          <rPr>
            <sz val="10"/>
            <color indexed="81"/>
            <rFont val="Century Gothic"/>
            <family val="2"/>
          </rPr>
          <t xml:space="preserve"> identificación de agente</t>
        </r>
      </text>
    </comment>
    <comment ref="I32" authorId="0" shapeId="0" xr:uid="{4EBC0BD6-12A7-4A4C-A067-A2861A116ED1}">
      <text>
        <r>
          <rPr>
            <sz val="10"/>
            <color indexed="81"/>
            <rFont val="Century Gothic"/>
            <family val="2"/>
          </rPr>
          <t>11. Nombre(s) de(los) agente(s) etiológico(s) identificado(s)</t>
        </r>
      </text>
    </comment>
    <comment ref="E34" authorId="0" shapeId="0" xr:uid="{8C4F328E-503D-7046-8309-BDA551E27E3F}">
      <text>
        <r>
          <rPr>
            <sz val="10"/>
            <color indexed="81"/>
            <rFont val="Century Gothic"/>
            <family val="2"/>
          </rPr>
          <t xml:space="preserve">13. Resumir la situación presentada teniendo en cuenta el número de expuestos, número de afectados, lugar de ocurrencia, fuente, modo de transmisión y agente etiológico.  </t>
        </r>
      </text>
    </comment>
    <comment ref="E37" authorId="0" shapeId="0" xr:uid="{AC5C5204-E8F4-0E48-80B3-994B94D627E6}">
      <text>
        <r>
          <rPr>
            <sz val="10"/>
            <color indexed="81"/>
            <rFont val="Century Gothic"/>
            <family val="2"/>
          </rPr>
          <t xml:space="preserve">14. Descripción del brote, teniendo en cuenta las variables de tiempo, lugar y persona. Adjuntar en </t>
        </r>
        <r>
          <rPr>
            <b/>
            <sz val="10"/>
            <color indexed="81"/>
            <rFont val="Century Gothic"/>
            <family val="2"/>
          </rPr>
          <t>ANEXOS</t>
        </r>
        <r>
          <rPr>
            <sz val="10"/>
            <color indexed="81"/>
            <rFont val="Century Gothic"/>
            <family val="2"/>
          </rPr>
          <t>, al final del Informe material de apoyo como gráficas, mapas, figuras, tablas, fotos, etc.</t>
        </r>
      </text>
    </comment>
    <comment ref="E40" authorId="0" shapeId="0" xr:uid="{628EC751-6E9D-2E45-A6F3-61C6B112EBD7}">
      <text>
        <r>
          <rPr>
            <sz val="10"/>
            <color indexed="81"/>
            <rFont val="Century Gothic"/>
            <family val="2"/>
          </rPr>
          <t xml:space="preserve">15. Seleccionar con </t>
        </r>
        <r>
          <rPr>
            <b/>
            <sz val="10"/>
            <color indexed="81"/>
            <rFont val="Century Gothic"/>
            <family val="2"/>
          </rPr>
          <t>X</t>
        </r>
        <r>
          <rPr>
            <sz val="10"/>
            <color indexed="81"/>
            <rFont val="Century Gothic"/>
            <family val="2"/>
          </rPr>
          <t xml:space="preserve"> el tipo de muestra en la que se logró identificar el agente patógeno.</t>
        </r>
      </text>
    </comment>
    <comment ref="E43" authorId="0" shapeId="0" xr:uid="{6CD4B231-CE18-C140-BD85-75406873255C}">
      <text>
        <r>
          <rPr>
            <sz val="10"/>
            <color indexed="81"/>
            <rFont val="Century Gothic"/>
            <family val="2"/>
          </rPr>
          <t xml:space="preserve">16. Escribir el agente etiológico identificado en la muestra recolectada </t>
        </r>
      </text>
    </comment>
    <comment ref="E49" authorId="0" shapeId="0" xr:uid="{5EC02C1F-2DD2-9F48-BDEC-2ADE0F1B2180}">
      <text>
        <r>
          <rPr>
            <sz val="10"/>
            <color indexed="81"/>
            <rFont val="Century Gothic"/>
            <family val="2"/>
          </rPr>
          <t>17. Realizar una breve descripción de los factores identificados, teniendo en cuenta los resultados por laboratorio o las hipótesis planteadas y los resultados de los estudios analíticos.</t>
        </r>
      </text>
    </comment>
    <comment ref="C51" authorId="0" shapeId="0" xr:uid="{9F2AE266-E895-0D4E-A915-3C965B07DEB2}">
      <text>
        <r>
          <rPr>
            <sz val="10"/>
            <color indexed="81"/>
            <rFont val="Century Gothic"/>
            <family val="2"/>
          </rPr>
          <t>18. Diligenciar la matriz, de acuerdo al seguimiento del plan de mejoramiento establecido en el informe</t>
        </r>
        <r>
          <rPr>
            <b/>
            <sz val="10"/>
            <color indexed="81"/>
            <rFont val="Century Gothic"/>
            <family val="2"/>
          </rPr>
          <t xml:space="preserve"> 72 horas.</t>
        </r>
      </text>
    </comment>
    <comment ref="C54" authorId="0" shapeId="0" xr:uid="{3B19873C-81C4-364B-91C2-98BAFE50A90A}">
      <text>
        <r>
          <rPr>
            <sz val="10"/>
            <color indexed="81"/>
            <rFont val="Century Gothic"/>
            <family val="2"/>
          </rPr>
          <t>19. Escribir las soluciones a corto y largo plazo que permitan identificar y controlar los factores de riesgo</t>
        </r>
      </text>
    </comment>
    <comment ref="C67" authorId="0" shapeId="0" xr:uid="{129AF8F3-4647-1944-8C33-5CB57FFA086A}">
      <text>
        <r>
          <rPr>
            <sz val="10"/>
            <color indexed="81"/>
            <rFont val="Century Gothic"/>
            <family val="2"/>
          </rPr>
          <t>20. Una vez caracterizado el brote, elaborar una conclusión teniendo en cuenta los criterios epidemiológicos y de laboratorio</t>
        </r>
      </text>
    </comment>
    <comment ref="G80" authorId="0" shapeId="0" xr:uid="{F6DFD575-9022-444D-95DF-069DDCFA9822}">
      <text>
        <r>
          <rPr>
            <sz val="10"/>
            <color indexed="81"/>
            <rFont val="Century Gothic"/>
            <family val="2"/>
          </rPr>
          <t>21. Datos de la(s) persona(s) responsables de la elaboración del informe con el fin de contactarla en caso de ser necesario</t>
        </r>
      </text>
    </comment>
    <comment ref="C85" authorId="0" shapeId="0" xr:uid="{8A1A5804-FCA0-E04E-9674-48F78974A6F8}">
      <text>
        <r>
          <rPr>
            <sz val="10"/>
            <color indexed="81"/>
            <rFont val="Century Gothic"/>
            <family val="2"/>
          </rPr>
          <t>22. Una vez caracterizado el brote, elaborar una conclusión teniendo en cuenta los criterios epidemiológicos y de laboratorio</t>
        </r>
      </text>
    </comment>
  </commentList>
</comments>
</file>

<file path=xl/sharedStrings.xml><?xml version="1.0" encoding="utf-8"?>
<sst xmlns="http://schemas.openxmlformats.org/spreadsheetml/2006/main" count="267" uniqueCount="192">
  <si>
    <t>Total</t>
  </si>
  <si>
    <t>% enfermos</t>
  </si>
  <si>
    <t>Menor de 1 año</t>
  </si>
  <si>
    <t>De 1 a 4 años</t>
  </si>
  <si>
    <t>3. Curva epidémica</t>
  </si>
  <si>
    <t>4. Tasa de ataque de expuestos y no expuestos (cohortes ó casos y controles)</t>
  </si>
  <si>
    <t>(Probable alimento implicado causante de la ETA)</t>
  </si>
  <si>
    <t>Enfermaron</t>
  </si>
  <si>
    <t>Grupo A - Consumieron alimento</t>
  </si>
  <si>
    <t>Diferencia de tasas</t>
  </si>
  <si>
    <t>Grupo B - No consumieron alimento</t>
  </si>
  <si>
    <t>Exposición entre los casos</t>
  </si>
  <si>
    <t>Hogar</t>
  </si>
  <si>
    <t>Establecimiento educativo</t>
  </si>
  <si>
    <t>Establecimiento militar</t>
  </si>
  <si>
    <t>Restaurante comercial</t>
  </si>
  <si>
    <t>Casino institucional</t>
  </si>
  <si>
    <t>Establecimiento penitenciario</t>
  </si>
  <si>
    <t>Club social</t>
  </si>
  <si>
    <t>Otro</t>
  </si>
  <si>
    <t>INSTITUTO NACIONAL DE SALUD</t>
  </si>
  <si>
    <t>6. Tipo de establecimiento o lugar donde fue consumido el alimento (seleccionar con X)</t>
  </si>
  <si>
    <t>Horas</t>
  </si>
  <si>
    <t>Días</t>
  </si>
  <si>
    <t>Minutos</t>
  </si>
  <si>
    <t>Periodo de incubación media</t>
  </si>
  <si>
    <t>Punto medio</t>
  </si>
  <si>
    <t>Casos acumulados</t>
  </si>
  <si>
    <t>fPM</t>
  </si>
  <si>
    <t xml:space="preserve">Periodo de incubación mas corto </t>
  </si>
  <si>
    <t>Periodo de incubación mas largo</t>
  </si>
  <si>
    <t>Mediana</t>
  </si>
  <si>
    <t>Casos rango</t>
  </si>
  <si>
    <t>Frecuencia</t>
  </si>
  <si>
    <t>Total expuestos</t>
  </si>
  <si>
    <t>No</t>
  </si>
  <si>
    <t>Alimento</t>
  </si>
  <si>
    <t>Tipo de muestra</t>
  </si>
  <si>
    <t>Límite inferior</t>
  </si>
  <si>
    <t>Límite superior</t>
  </si>
  <si>
    <t>Nombre del profesional que elaboró el informe</t>
  </si>
  <si>
    <t>Teléfono o celular</t>
  </si>
  <si>
    <t>e-mail</t>
  </si>
  <si>
    <t>INFORME PRELIMINAR</t>
  </si>
  <si>
    <t>Signos y síntomas</t>
  </si>
  <si>
    <t>Medidas iniciales de control:</t>
  </si>
  <si>
    <t>SEGUNDO INFORME - 72 HORAS</t>
  </si>
  <si>
    <t>Lugar de ocurrencia:</t>
  </si>
  <si>
    <t xml:space="preserve">Fecha de inicio de signos y síntomas de caso índice (dd/mm/año): </t>
  </si>
  <si>
    <t>Departamento</t>
  </si>
  <si>
    <t>Municipio</t>
  </si>
  <si>
    <t>Barrio/Corregimiento/Vereda</t>
  </si>
  <si>
    <t>Logo Institución</t>
  </si>
  <si>
    <t>DESCRIPCIÓN DEL BROTE</t>
  </si>
  <si>
    <t>Total enfermos</t>
  </si>
  <si>
    <t>Vómito</t>
  </si>
  <si>
    <t>Recomendaciones</t>
  </si>
  <si>
    <t>Análisis de resultados</t>
  </si>
  <si>
    <t>Conclusiones</t>
  </si>
  <si>
    <t>Resultados</t>
  </si>
  <si>
    <t>Barrio/Corregimiento/Vereda/Localidad</t>
  </si>
  <si>
    <t>Dirección:</t>
  </si>
  <si>
    <t>Teléfono:</t>
  </si>
  <si>
    <t>Observaciones:</t>
  </si>
  <si>
    <t>COHORTES</t>
  </si>
  <si>
    <t>CASOS Y CONTROLES</t>
  </si>
  <si>
    <t>Antecedentes  del brote:</t>
  </si>
  <si>
    <t>De 5 a 9 años</t>
  </si>
  <si>
    <t>Grupo de edad</t>
  </si>
  <si>
    <t>PM: Posición de la Mediana</t>
  </si>
  <si>
    <t>Li: Límite inferior del intervalo de la posición de la mediana</t>
  </si>
  <si>
    <t>Fecha recolección de muestra</t>
  </si>
  <si>
    <t>Documento de identificación</t>
  </si>
  <si>
    <t>Tratamiento</t>
  </si>
  <si>
    <t>Si</t>
  </si>
  <si>
    <t>Análisis solicitado</t>
  </si>
  <si>
    <t>Restos alimento</t>
  </si>
  <si>
    <t>Agua</t>
  </si>
  <si>
    <t>Superficie inerte</t>
  </si>
  <si>
    <t xml:space="preserve">INFORME FINAL </t>
  </si>
  <si>
    <t>Resumen de la situación</t>
  </si>
  <si>
    <t>Descripción del brote</t>
  </si>
  <si>
    <t>Agente identificado</t>
  </si>
  <si>
    <t xml:space="preserve">Tipo de muestra </t>
  </si>
  <si>
    <t>Alimentos o superficies inertes</t>
  </si>
  <si>
    <t>Biologicas / superficies vivas</t>
  </si>
  <si>
    <t>Factores determinantes</t>
  </si>
  <si>
    <t>Alimentos</t>
  </si>
  <si>
    <t>Tasa de ataque enfermos</t>
  </si>
  <si>
    <t xml:space="preserve">Total de casos </t>
  </si>
  <si>
    <t>Intervalos de confianza</t>
  </si>
  <si>
    <t>Quién lo realiza?</t>
  </si>
  <si>
    <t>Nombre del alimento</t>
  </si>
  <si>
    <t>Materia fecal</t>
  </si>
  <si>
    <t>Sangre</t>
  </si>
  <si>
    <t>Suero sanguíneo</t>
  </si>
  <si>
    <t>Orina</t>
  </si>
  <si>
    <t>Líquido cefalorraquideo</t>
  </si>
  <si>
    <t>Lavado gástrico</t>
  </si>
  <si>
    <t>Lavado o frotis de manos</t>
  </si>
  <si>
    <t>Restos de alimento</t>
  </si>
  <si>
    <t xml:space="preserve">Muestras y 
Resultados </t>
  </si>
  <si>
    <t>Edad 
(años)</t>
  </si>
  <si>
    <t xml:space="preserve">Nombre y apellidos </t>
  </si>
  <si>
    <t>Posibles alimentos/agua o mecanismos de transmisión implicados</t>
  </si>
  <si>
    <t>Manejo y tratamiento clínico de los casos, indicar complicaciones</t>
  </si>
  <si>
    <t xml:space="preserve">Posible número de expuestos </t>
  </si>
  <si>
    <t>Casos vivos</t>
  </si>
  <si>
    <t>Casos muertos</t>
  </si>
  <si>
    <t>Casos hospitalizados</t>
  </si>
  <si>
    <t>Hipótesis inicial (teniendo en cuenta signos y síntomas):</t>
  </si>
  <si>
    <t>1. Distribución de casos por signos y síntomas presentados</t>
  </si>
  <si>
    <t>INFORME DE INVESTIGACIÓN DE POSIBLE BROTE DE ETA Y 
ENFERMEDADES DE ORIGEN HÍDRICO</t>
  </si>
  <si>
    <t>DIRECCIÓN DE VIGILANCIA Y ANÁLISIS DEL RIESGO EN SALUD PÚBLICA</t>
  </si>
  <si>
    <t>Porcentaje (%)</t>
  </si>
  <si>
    <t>Masculino</t>
  </si>
  <si>
    <t>Femenino</t>
  </si>
  <si>
    <t>Número expuestos de sexo masculino</t>
  </si>
  <si>
    <t>Número de casos masculinos</t>
  </si>
  <si>
    <t>Número expuestos 
de sexo femenino</t>
  </si>
  <si>
    <t>Número de casos femeninos</t>
  </si>
  <si>
    <t>Total de casos</t>
  </si>
  <si>
    <t>Total de expuestos</t>
  </si>
  <si>
    <t>Número de casos</t>
  </si>
  <si>
    <t>Fecha primer caso (dd/mm/año)</t>
  </si>
  <si>
    <t>Fecha último caso (dd/mm/año)</t>
  </si>
  <si>
    <t>Número de casos con signos y síntomas</t>
  </si>
  <si>
    <t>Número casos expuestos 
al alimento</t>
  </si>
  <si>
    <t>Razón de exposición</t>
  </si>
  <si>
    <t>Casos no expuestos al alimento</t>
  </si>
  <si>
    <t>8. Recolección de muestras para análisis por laboratorio</t>
  </si>
  <si>
    <t>8.1 A los pacientes según criterio médico y contactos (si es necesario)</t>
  </si>
  <si>
    <t>8.3 De los alimentos implicados o superficies inertes</t>
  </si>
  <si>
    <t>INFORME DE INVESTIGACIÓN DE POSIBLE BROTE DE ETA Y ENFERMEDADES DE ORIGEN HÍDRICO</t>
  </si>
  <si>
    <t>Semana epidemiológica de ocurrencia:</t>
  </si>
  <si>
    <t>Cumple con parámetros de notificación inmediata?</t>
  </si>
  <si>
    <t>Persona a persona</t>
  </si>
  <si>
    <t>Contaminación medio ambiental</t>
  </si>
  <si>
    <t>Otro - diferente de agua y alimento</t>
  </si>
  <si>
    <t>Desconocido</t>
  </si>
  <si>
    <t>Oral</t>
  </si>
  <si>
    <t>Oral - fecal</t>
  </si>
  <si>
    <t>Cruzada</t>
  </si>
  <si>
    <t>Modo de
transmisión</t>
  </si>
  <si>
    <t>De 10 a 19 años</t>
  </si>
  <si>
    <t>De 20 a 49 años</t>
  </si>
  <si>
    <t>De 50 a 74 años</t>
  </si>
  <si>
    <t>De 75 años y más</t>
  </si>
  <si>
    <t>Estado del brote</t>
  </si>
  <si>
    <t>GRUPO DE GESTIÓN DEL RIESGO RESPUESTA INMEDIATA Y COMUNICACIÓN DEL RIESGO</t>
  </si>
  <si>
    <t>Casos UPGD</t>
  </si>
  <si>
    <t>Casos (BAC)</t>
  </si>
  <si>
    <t>Tocal casos</t>
  </si>
  <si>
    <t>Biológica</t>
  </si>
  <si>
    <t>Hogar geriátrico</t>
  </si>
  <si>
    <t>Hogar de bienestar familiar</t>
  </si>
  <si>
    <t>Superficies</t>
  </si>
  <si>
    <t>Manipuladores</t>
  </si>
  <si>
    <t>Muestras recolectadas</t>
  </si>
  <si>
    <t>5. Tasa de exposición (cuando solo se conoce un grupo de enfermos - posible alimento implicado en la ETA)</t>
  </si>
  <si>
    <r>
      <t>Definición de caso</t>
    </r>
    <r>
      <rPr>
        <b/>
        <sz val="12"/>
        <rFont val="Calibri"/>
        <family val="2"/>
      </rPr>
      <t xml:space="preserve"> (basada en alimentos implicados, signos y síntomas y lugar de consumo)</t>
    </r>
  </si>
  <si>
    <r>
      <t xml:space="preserve">2. Tasa de ataque por edad y género (fuente: entrevista a consumidores). </t>
    </r>
    <r>
      <rPr>
        <sz val="12"/>
        <rFont val="Calibri"/>
        <family val="2"/>
      </rPr>
      <t xml:space="preserve"> Se agrupan en intervalos, según características de la población</t>
    </r>
  </si>
  <si>
    <r>
      <rPr>
        <b/>
        <sz val="12"/>
        <color indexed="8"/>
        <rFont val="Calibri"/>
        <family val="2"/>
      </rPr>
      <t xml:space="preserve">Período de incubación: </t>
    </r>
    <r>
      <rPr>
        <sz val="12"/>
        <color indexed="8"/>
        <rFont val="Calibri"/>
        <family val="2"/>
      </rPr>
      <t xml:space="preserve">intervalo transcurrido entre la ingestión de los alimentos y la aparición del primer síntoma. </t>
    </r>
  </si>
  <si>
    <r>
      <t>f</t>
    </r>
    <r>
      <rPr>
        <i/>
        <sz val="12"/>
        <color indexed="9"/>
        <rFont val="Calibri"/>
        <family val="2"/>
      </rPr>
      <t>IPM</t>
    </r>
  </si>
  <si>
    <t>8.2 A los manipuladores / superficies vivas</t>
  </si>
  <si>
    <t>Fuente de transmisión</t>
  </si>
  <si>
    <t xml:space="preserve">Intervalo de 
confianza IC </t>
  </si>
  <si>
    <t>Requiere apoyo de otras instancias?</t>
  </si>
  <si>
    <t>Alguno de los alimentos implicados son industrializados?</t>
  </si>
  <si>
    <r>
      <t xml:space="preserve">Cerrado </t>
    </r>
    <r>
      <rPr>
        <b/>
        <sz val="12"/>
        <color indexed="8"/>
        <rFont val="Calibri"/>
        <family val="2"/>
      </rPr>
      <t>CON</t>
    </r>
    <r>
      <rPr>
        <sz val="12"/>
        <color indexed="8"/>
        <rFont val="Calibri"/>
        <family val="2"/>
      </rPr>
      <t xml:space="preserve"> identificación del agente etiológico</t>
    </r>
  </si>
  <si>
    <r>
      <t xml:space="preserve">Cerrado </t>
    </r>
    <r>
      <rPr>
        <b/>
        <sz val="12"/>
        <color indexed="8"/>
        <rFont val="Calibri"/>
        <family val="2"/>
      </rPr>
      <t>SIN</t>
    </r>
    <r>
      <rPr>
        <sz val="12"/>
        <color indexed="8"/>
        <rFont val="Calibri"/>
        <family val="2"/>
      </rPr>
      <t xml:space="preserve"> identificación del agente etiológico</t>
    </r>
  </si>
  <si>
    <t>Nombre y cargo del profesional que elaboró el informe</t>
  </si>
  <si>
    <t>Teléfono o celular de contacto</t>
  </si>
  <si>
    <t>Nombre y cargo del profesional que revisó</t>
  </si>
  <si>
    <t>NOTA. Para tablas de contingencia de este tipo, nunca pueden haber valores de 0 en los campos 24 al 27; si esto ocurre, adicionar 1 caso (sumar 1) a todos los campos (24 al 27) a cada uno de los alimentos implicados.</t>
  </si>
  <si>
    <r>
      <t xml:space="preserve">NOTA: </t>
    </r>
    <r>
      <rPr>
        <sz val="14"/>
        <color indexed="8"/>
        <rFont val="Calibri"/>
        <family val="2"/>
      </rPr>
      <t>SI DOS O MÁS ALIMENTOS TIENEN ALTOS VALORES, REALIZAR ANALISIS ESTRATIFICADO; UTILIZAR MÉTODOS ESTADÍSTICOS MÁS PRECISOS</t>
    </r>
  </si>
  <si>
    <r>
      <t xml:space="preserve">NOTA: </t>
    </r>
    <r>
      <rPr>
        <sz val="14"/>
        <color indexed="8"/>
        <rFont val="Calibri"/>
        <family val="2"/>
      </rPr>
      <t>SI DOS O MÁS ALIMENTOS TIENEN ALTOS VALORES EN EL OR O RR, REALIZAR ANALISIS ESTRATIFICADO; UTILIZAR MÉTODOS ESTADÍSTICOS MÁS PRECISOS</t>
    </r>
  </si>
  <si>
    <t>ANEXOS (material de apoyo como gráficas, mapas, figuras, tablas, fotos, etc.)</t>
  </si>
  <si>
    <t>Casos en casa</t>
  </si>
  <si>
    <t>Diseñado y elaborado por: Milena Borbón Ramos. DVARSP. Versión abril 2021</t>
  </si>
  <si>
    <t xml:space="preserve">Fecha de inicio del brote (dd/mm/año): </t>
  </si>
  <si>
    <t xml:space="preserve">Fecha de detección del brote (dd/mm/año): </t>
  </si>
  <si>
    <t xml:space="preserve">Fecha de notificación al SAT (dd/mm/año): </t>
  </si>
  <si>
    <t xml:space="preserve">Fecha de notificación al Sivigila (dd/mm/año): </t>
  </si>
  <si>
    <t xml:space="preserve">Fecha de notificación de investigación epidemiologica de campo (dd/mm/año): </t>
  </si>
  <si>
    <t>Fecha de cierre del brote (dd/mm/año):</t>
  </si>
  <si>
    <t>7. Análisis de puntos críticos de control (De manera breve describa los hallazgos durante la IVC que representen riesgo para la presencia de la ETA)</t>
  </si>
  <si>
    <t>9. Recomendaciones</t>
  </si>
  <si>
    <t>10. Conclusiones</t>
  </si>
  <si>
    <t>Seguimiento a puntos criticos</t>
  </si>
  <si>
    <t>Diseñado y elaborado por: Milena Borbón Ramos. DVARSP. Versión Julio 31 de 2022</t>
  </si>
  <si>
    <t xml:space="preserve">Fecha en la que se identificó el agente etiológico (dd/mm/año):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</si>
</sst>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5" formatCode="_(* #,##0_);_(* \(#,##0\);_(* &quot;-&quot;_);_(@_)"/>
    <numFmt numFmtId="177" formatCode="_(* #,##0.00_);_(* \(#,##0.00\);_(* &quot;-&quot;??_);_(@_)"/>
    <numFmt numFmtId="187" formatCode="dd/mm/yyyy;@"/>
    <numFmt numFmtId="193" formatCode="0.0000"/>
    <numFmt numFmtId="195" formatCode="0.0"/>
    <numFmt numFmtId="196" formatCode="0.0%"/>
    <numFmt numFmtId="198" formatCode="_(* #,##0_);_(* \(#,##0\);_(* &quot;-&quot;??_);_(@_)"/>
    <numFmt numFmtId="201" formatCode="d/mm/yyyy;@"/>
    <numFmt numFmtId="210" formatCode="_(* #,##0.0_);_(* \(#,##0.0\);_(* &quot;-&quot;_);_(@_)"/>
  </numFmts>
  <fonts count="48" x14ac:knownFonts="1">
    <font>
      <sz val="11"/>
      <color theme="1"/>
      <name val="Calibri"/>
      <family val="2"/>
      <scheme val="minor"/>
    </font>
    <font>
      <b/>
      <sz val="10"/>
      <color indexed="81"/>
      <name val="Century Gothic"/>
      <family val="2"/>
    </font>
    <font>
      <sz val="10"/>
      <color indexed="81"/>
      <name val="Century Gothic"/>
      <family val="2"/>
    </font>
    <font>
      <sz val="11"/>
      <color indexed="81"/>
      <name val="Century Gothic"/>
      <family val="2"/>
    </font>
    <font>
      <b/>
      <sz val="11"/>
      <color indexed="81"/>
      <name val="Century Gothic"/>
      <family val="2"/>
    </font>
    <font>
      <sz val="14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i/>
      <sz val="12"/>
      <color indexed="9"/>
      <name val="Calibri"/>
      <family val="2"/>
    </font>
    <font>
      <b/>
      <sz val="12"/>
      <color indexed="8"/>
      <name val="Calibri"/>
      <family val="2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.5"/>
      <color rgb="FF444444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name val="Calibri"/>
      <family val="2"/>
      <scheme val="minor"/>
    </font>
    <font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2"/>
      <color theme="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77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779">
    <xf numFmtId="0" fontId="0" fillId="0" borderId="0" xfId="0"/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vertical="center" wrapText="1"/>
    </xf>
    <xf numFmtId="0" fontId="17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201" fontId="19" fillId="2" borderId="0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vertical="center" wrapText="1"/>
    </xf>
    <xf numFmtId="0" fontId="19" fillId="2" borderId="0" xfId="0" applyFont="1" applyFill="1" applyBorder="1" applyAlignment="1">
      <alignment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vertical="center"/>
    </xf>
    <xf numFmtId="0" fontId="19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 wrapText="1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0" fontId="0" fillId="2" borderId="0" xfId="0" applyFont="1" applyFill="1" applyAlignment="1">
      <alignment vertical="center"/>
    </xf>
    <xf numFmtId="0" fontId="0" fillId="2" borderId="3" xfId="0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0" fontId="0" fillId="2" borderId="5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2" borderId="6" xfId="0" applyFont="1" applyFill="1" applyBorder="1" applyAlignment="1">
      <alignment vertical="center"/>
    </xf>
    <xf numFmtId="0" fontId="0" fillId="2" borderId="7" xfId="0" applyFont="1" applyFill="1" applyBorder="1" applyAlignment="1">
      <alignment vertical="center"/>
    </xf>
    <xf numFmtId="0" fontId="0" fillId="2" borderId="8" xfId="0" applyFont="1" applyFill="1" applyBorder="1" applyAlignment="1">
      <alignment vertical="center"/>
    </xf>
    <xf numFmtId="0" fontId="0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18" fillId="2" borderId="9" xfId="3" applyNumberFormat="1" applyFont="1" applyFill="1" applyBorder="1" applyAlignment="1" applyProtection="1">
      <alignment horizontal="center" vertical="center" wrapText="1"/>
      <protection hidden="1"/>
    </xf>
    <xf numFmtId="0" fontId="0" fillId="2" borderId="3" xfId="0" applyFont="1" applyFill="1" applyBorder="1" applyAlignment="1" applyProtection="1">
      <alignment horizontal="center" vertical="center" wrapText="1"/>
      <protection hidden="1"/>
    </xf>
    <xf numFmtId="0" fontId="0" fillId="2" borderId="4" xfId="0" applyFont="1" applyFill="1" applyBorder="1" applyAlignment="1" applyProtection="1">
      <alignment horizontal="center" vertical="center" wrapText="1"/>
      <protection hidden="1"/>
    </xf>
    <xf numFmtId="0" fontId="0" fillId="2" borderId="5" xfId="0" applyFont="1" applyFill="1" applyBorder="1" applyAlignment="1" applyProtection="1">
      <alignment horizontal="center" vertical="center" wrapText="1"/>
      <protection hidden="1"/>
    </xf>
    <xf numFmtId="0" fontId="20" fillId="2" borderId="1" xfId="0" applyFont="1" applyFill="1" applyBorder="1" applyAlignment="1" applyProtection="1">
      <alignment vertical="center"/>
      <protection hidden="1"/>
    </xf>
    <xf numFmtId="0" fontId="0" fillId="2" borderId="2" xfId="0" applyFont="1" applyFill="1" applyBorder="1" applyAlignment="1" applyProtection="1">
      <alignment horizontal="center" vertical="center" wrapText="1"/>
      <protection hidden="1"/>
    </xf>
    <xf numFmtId="0" fontId="0" fillId="2" borderId="1" xfId="0" applyFont="1" applyFill="1" applyBorder="1" applyAlignment="1" applyProtection="1">
      <alignment horizontal="center" vertical="center" wrapText="1"/>
      <protection hidden="1"/>
    </xf>
    <xf numFmtId="0" fontId="0" fillId="2" borderId="0" xfId="0" applyFont="1" applyFill="1" applyBorder="1" applyAlignment="1" applyProtection="1">
      <alignment horizontal="center" vertical="center" wrapText="1"/>
      <protection hidden="1"/>
    </xf>
    <xf numFmtId="0" fontId="0" fillId="2" borderId="0" xfId="0" applyFont="1" applyFill="1" applyBorder="1" applyAlignment="1" applyProtection="1">
      <alignment vertical="center" wrapText="1"/>
      <protection hidden="1"/>
    </xf>
    <xf numFmtId="0" fontId="21" fillId="2" borderId="1" xfId="0" applyFont="1" applyFill="1" applyBorder="1" applyAlignment="1" applyProtection="1">
      <alignment vertical="center" wrapText="1"/>
      <protection hidden="1"/>
    </xf>
    <xf numFmtId="0" fontId="21" fillId="2" borderId="0" xfId="0" applyFont="1" applyFill="1" applyBorder="1" applyAlignment="1" applyProtection="1">
      <alignment vertical="center" wrapText="1"/>
      <protection hidden="1"/>
    </xf>
    <xf numFmtId="0" fontId="19" fillId="2" borderId="2" xfId="0" applyFont="1" applyFill="1" applyBorder="1" applyAlignment="1" applyProtection="1">
      <alignment horizontal="center" vertical="center" wrapText="1"/>
      <protection hidden="1"/>
    </xf>
    <xf numFmtId="0" fontId="19" fillId="2" borderId="1" xfId="0" applyFont="1" applyFill="1" applyBorder="1" applyAlignment="1" applyProtection="1">
      <alignment horizontal="center" vertical="center" wrapText="1"/>
      <protection hidden="1"/>
    </xf>
    <xf numFmtId="0" fontId="19" fillId="2" borderId="0" xfId="0" applyFont="1" applyFill="1" applyBorder="1" applyAlignment="1" applyProtection="1">
      <alignment vertical="center" wrapText="1"/>
      <protection hidden="1"/>
    </xf>
    <xf numFmtId="0" fontId="19" fillId="2" borderId="1" xfId="0" applyFont="1" applyFill="1" applyBorder="1" applyAlignment="1" applyProtection="1">
      <alignment vertical="center" wrapText="1"/>
      <protection hidden="1"/>
    </xf>
    <xf numFmtId="0" fontId="19" fillId="2" borderId="0" xfId="0" applyFont="1" applyFill="1" applyAlignment="1" applyProtection="1">
      <alignment vertical="center" wrapText="1"/>
      <protection hidden="1"/>
    </xf>
    <xf numFmtId="0" fontId="17" fillId="2" borderId="1" xfId="0" applyFont="1" applyFill="1" applyBorder="1" applyAlignment="1" applyProtection="1">
      <alignment vertical="center"/>
      <protection hidden="1"/>
    </xf>
    <xf numFmtId="201" fontId="19" fillId="2" borderId="0" xfId="0" applyNumberFormat="1" applyFont="1" applyFill="1" applyBorder="1" applyAlignment="1" applyProtection="1">
      <alignment horizontal="center" vertical="center"/>
      <protection hidden="1"/>
    </xf>
    <xf numFmtId="0" fontId="18" fillId="2" borderId="0" xfId="0" applyFont="1" applyFill="1" applyBorder="1" applyAlignment="1" applyProtection="1">
      <alignment vertical="center"/>
      <protection hidden="1"/>
    </xf>
    <xf numFmtId="0" fontId="0" fillId="2" borderId="0" xfId="0" applyFont="1" applyFill="1" applyBorder="1" applyAlignment="1" applyProtection="1">
      <alignment vertical="center"/>
      <protection hidden="1"/>
    </xf>
    <xf numFmtId="0" fontId="0" fillId="2" borderId="2" xfId="0" applyFont="1" applyFill="1" applyBorder="1" applyAlignment="1" applyProtection="1">
      <alignment vertical="center"/>
      <protection hidden="1"/>
    </xf>
    <xf numFmtId="0" fontId="0" fillId="2" borderId="0" xfId="0" applyFont="1" applyFill="1" applyAlignment="1" applyProtection="1">
      <alignment vertical="center"/>
      <protection hidden="1"/>
    </xf>
    <xf numFmtId="0" fontId="17" fillId="2" borderId="0" xfId="0" applyFont="1" applyFill="1" applyBorder="1" applyAlignment="1" applyProtection="1">
      <alignment horizontal="center" vertical="center"/>
      <protection hidden="1"/>
    </xf>
    <xf numFmtId="0" fontId="0" fillId="2" borderId="0" xfId="0" applyFont="1" applyFill="1" applyAlignment="1" applyProtection="1">
      <alignment horizontal="left" vertical="center"/>
      <protection hidden="1"/>
    </xf>
    <xf numFmtId="0" fontId="17" fillId="2" borderId="1" xfId="0" applyFont="1" applyFill="1" applyBorder="1" applyAlignment="1" applyProtection="1">
      <alignment vertical="center" wrapText="1"/>
      <protection hidden="1"/>
    </xf>
    <xf numFmtId="9" fontId="18" fillId="2" borderId="10" xfId="3" applyNumberFormat="1" applyFont="1" applyFill="1" applyBorder="1" applyAlignment="1" applyProtection="1">
      <alignment horizontal="center" vertical="center" wrapText="1"/>
      <protection hidden="1"/>
    </xf>
    <xf numFmtId="9" fontId="18" fillId="2" borderId="11" xfId="3" applyNumberFormat="1" applyFont="1" applyFill="1" applyBorder="1" applyAlignment="1" applyProtection="1">
      <alignment horizontal="center" vertical="center" wrapText="1"/>
      <protection hidden="1"/>
    </xf>
    <xf numFmtId="9" fontId="18" fillId="2" borderId="12" xfId="3" applyNumberFormat="1" applyFont="1" applyFill="1" applyBorder="1" applyAlignment="1" applyProtection="1">
      <alignment horizontal="center" vertical="center" wrapText="1"/>
      <protection hidden="1"/>
    </xf>
    <xf numFmtId="0" fontId="16" fillId="2" borderId="1" xfId="0" applyFont="1" applyFill="1" applyBorder="1" applyAlignment="1" applyProtection="1">
      <alignment vertical="center" wrapText="1"/>
      <protection hidden="1"/>
    </xf>
    <xf numFmtId="0" fontId="16" fillId="2" borderId="0" xfId="0" applyFont="1" applyFill="1" applyBorder="1" applyAlignment="1" applyProtection="1">
      <alignment vertical="center" wrapText="1"/>
      <protection hidden="1"/>
    </xf>
    <xf numFmtId="0" fontId="0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17" fillId="2" borderId="0" xfId="0" applyFont="1" applyFill="1" applyBorder="1" applyAlignment="1" applyProtection="1">
      <alignment vertical="center" wrapText="1"/>
      <protection hidden="1"/>
    </xf>
    <xf numFmtId="0" fontId="16" fillId="2" borderId="0" xfId="0" applyFont="1" applyFill="1" applyBorder="1" applyAlignment="1" applyProtection="1">
      <alignment horizontal="center" vertical="center" wrapText="1"/>
      <protection hidden="1"/>
    </xf>
    <xf numFmtId="0" fontId="0" fillId="0" borderId="0" xfId="0" applyFont="1" applyFill="1" applyAlignment="1" applyProtection="1">
      <alignment horizontal="center" vertical="center" wrapText="1"/>
      <protection hidden="1"/>
    </xf>
    <xf numFmtId="0" fontId="22" fillId="2" borderId="0" xfId="0" applyFont="1" applyFill="1" applyAlignment="1" applyProtection="1">
      <alignment horizontal="center" vertical="center" wrapText="1"/>
      <protection hidden="1"/>
    </xf>
    <xf numFmtId="0" fontId="0" fillId="0" borderId="1" xfId="0" applyFont="1" applyFill="1" applyBorder="1" applyAlignment="1" applyProtection="1">
      <alignment horizontal="center" vertical="center" wrapText="1"/>
      <protection hidden="1"/>
    </xf>
    <xf numFmtId="0" fontId="18" fillId="2" borderId="0" xfId="0" applyFont="1" applyFill="1" applyBorder="1" applyAlignment="1" applyProtection="1">
      <alignment horizontal="center" vertical="center" wrapText="1"/>
      <protection hidden="1"/>
    </xf>
    <xf numFmtId="0" fontId="18" fillId="2" borderId="0" xfId="0" applyFont="1" applyFill="1" applyAlignment="1" applyProtection="1">
      <alignment horizontal="center" vertical="center" wrapText="1"/>
      <protection hidden="1"/>
    </xf>
    <xf numFmtId="0" fontId="18" fillId="2" borderId="2" xfId="0" applyFont="1" applyFill="1" applyBorder="1" applyAlignment="1" applyProtection="1">
      <alignment horizontal="center" vertical="center" wrapText="1"/>
      <protection hidden="1"/>
    </xf>
    <xf numFmtId="0" fontId="17" fillId="2" borderId="0" xfId="0" applyFont="1" applyFill="1" applyBorder="1" applyAlignment="1" applyProtection="1">
      <alignment horizontal="center" vertical="center" wrapText="1"/>
      <protection hidden="1"/>
    </xf>
    <xf numFmtId="0" fontId="18" fillId="3" borderId="13" xfId="0" applyFont="1" applyFill="1" applyBorder="1" applyAlignment="1" applyProtection="1">
      <alignment horizontal="center" vertical="center" wrapText="1"/>
      <protection locked="0"/>
    </xf>
    <xf numFmtId="0" fontId="18" fillId="3" borderId="14" xfId="0" applyFont="1" applyFill="1" applyBorder="1" applyAlignment="1" applyProtection="1">
      <alignment horizontal="center" vertical="center" wrapText="1"/>
      <protection locked="0"/>
    </xf>
    <xf numFmtId="0" fontId="18" fillId="3" borderId="15" xfId="0" applyFont="1" applyFill="1" applyBorder="1" applyAlignment="1" applyProtection="1">
      <alignment horizontal="center" vertical="center"/>
      <protection locked="0"/>
    </xf>
    <xf numFmtId="0" fontId="0" fillId="3" borderId="16" xfId="0" applyFont="1" applyFill="1" applyBorder="1" applyAlignment="1" applyProtection="1">
      <alignment horizontal="center" vertical="center" wrapText="1"/>
      <protection locked="0"/>
    </xf>
    <xf numFmtId="0" fontId="19" fillId="0" borderId="0" xfId="0" applyFont="1" applyFill="1" applyAlignment="1" applyProtection="1">
      <alignment horizontal="center" vertical="center" wrapText="1"/>
      <protection hidden="1"/>
    </xf>
    <xf numFmtId="0" fontId="19" fillId="0" borderId="2" xfId="0" applyFont="1" applyFill="1" applyBorder="1" applyAlignment="1" applyProtection="1">
      <alignment horizontal="center" vertical="center" wrapText="1"/>
      <protection hidden="1"/>
    </xf>
    <xf numFmtId="0" fontId="0" fillId="2" borderId="0" xfId="0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Border="1" applyAlignment="1" applyProtection="1">
      <alignment vertical="center" wrapText="1"/>
      <protection hidden="1"/>
    </xf>
    <xf numFmtId="0" fontId="0" fillId="3" borderId="17" xfId="0" applyFont="1" applyFill="1" applyBorder="1" applyAlignment="1" applyProtection="1">
      <alignment horizontal="center" vertical="center" wrapText="1"/>
      <protection locked="0"/>
    </xf>
    <xf numFmtId="9" fontId="18" fillId="2" borderId="18" xfId="3" applyNumberFormat="1" applyFont="1" applyFill="1" applyBorder="1" applyAlignment="1" applyProtection="1">
      <alignment horizontal="center" vertical="center" wrapText="1"/>
      <protection hidden="1"/>
    </xf>
    <xf numFmtId="0" fontId="19" fillId="2" borderId="0" xfId="0" applyFont="1" applyFill="1" applyBorder="1" applyAlignment="1" applyProtection="1">
      <alignment horizontal="center" vertical="center" wrapText="1"/>
      <protection hidden="1"/>
    </xf>
    <xf numFmtId="0" fontId="17" fillId="4" borderId="19" xfId="0" applyFont="1" applyFill="1" applyBorder="1" applyAlignment="1" applyProtection="1">
      <alignment horizontal="center" vertical="center" wrapText="1"/>
      <protection hidden="1"/>
    </xf>
    <xf numFmtId="0" fontId="17" fillId="4" borderId="20" xfId="0" applyFont="1" applyFill="1" applyBorder="1" applyAlignment="1" applyProtection="1">
      <alignment horizontal="center" vertical="center" wrapText="1"/>
      <protection hidden="1"/>
    </xf>
    <xf numFmtId="9" fontId="18" fillId="2" borderId="21" xfId="3" applyNumberFormat="1" applyFont="1" applyFill="1" applyBorder="1" applyAlignment="1" applyProtection="1">
      <alignment horizontal="center" vertical="center" wrapText="1"/>
      <protection hidden="1"/>
    </xf>
    <xf numFmtId="9" fontId="18" fillId="2" borderId="22" xfId="3" applyNumberFormat="1" applyFont="1" applyFill="1" applyBorder="1" applyAlignment="1" applyProtection="1">
      <alignment horizontal="center" vertical="center" wrapText="1"/>
      <protection hidden="1"/>
    </xf>
    <xf numFmtId="0" fontId="24" fillId="2" borderId="0" xfId="0" applyFont="1" applyFill="1" applyBorder="1" applyAlignment="1" applyProtection="1">
      <alignment vertical="center" wrapText="1"/>
      <protection hidden="1"/>
    </xf>
    <xf numFmtId="9" fontId="18" fillId="2" borderId="23" xfId="3" applyNumberFormat="1" applyFont="1" applyFill="1" applyBorder="1" applyAlignment="1" applyProtection="1">
      <alignment horizontal="center" vertical="center" wrapText="1"/>
      <protection hidden="1"/>
    </xf>
    <xf numFmtId="9" fontId="18" fillId="2" borderId="24" xfId="3" applyNumberFormat="1" applyFont="1" applyFill="1" applyBorder="1" applyAlignment="1" applyProtection="1">
      <alignment horizontal="center" vertical="center" wrapText="1"/>
      <protection hidden="1"/>
    </xf>
    <xf numFmtId="9" fontId="18" fillId="2" borderId="25" xfId="3" applyNumberFormat="1" applyFont="1" applyFill="1" applyBorder="1" applyAlignment="1" applyProtection="1">
      <alignment horizontal="center" vertical="center" wrapText="1"/>
      <protection hidden="1"/>
    </xf>
    <xf numFmtId="9" fontId="18" fillId="2" borderId="26" xfId="3" applyNumberFormat="1" applyFont="1" applyFill="1" applyBorder="1" applyAlignment="1" applyProtection="1">
      <alignment horizontal="center" vertical="center" wrapText="1"/>
      <protection hidden="1"/>
    </xf>
    <xf numFmtId="0" fontId="18" fillId="2" borderId="27" xfId="0" applyFont="1" applyFill="1" applyBorder="1" applyAlignment="1" applyProtection="1">
      <alignment horizontal="center" vertical="center" wrapText="1"/>
      <protection hidden="1"/>
    </xf>
    <xf numFmtId="0" fontId="0" fillId="2" borderId="0" xfId="0" applyFont="1" applyFill="1" applyBorder="1" applyAlignment="1" applyProtection="1">
      <alignment horizontal="center" vertical="top" wrapText="1"/>
      <protection hidden="1"/>
    </xf>
    <xf numFmtId="0" fontId="25" fillId="2" borderId="0" xfId="0" applyFont="1" applyFill="1" applyBorder="1" applyAlignment="1" applyProtection="1">
      <alignment vertical="center" wrapText="1"/>
      <protection hidden="1"/>
    </xf>
    <xf numFmtId="0" fontId="14" fillId="2" borderId="0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 applyProtection="1">
      <alignment vertical="center" wrapText="1"/>
      <protection hidden="1"/>
    </xf>
    <xf numFmtId="0" fontId="24" fillId="2" borderId="2" xfId="0" applyFont="1" applyFill="1" applyBorder="1" applyAlignment="1" applyProtection="1">
      <alignment vertical="center" wrapText="1"/>
      <protection hidden="1"/>
    </xf>
    <xf numFmtId="0" fontId="23" fillId="2" borderId="2" xfId="0" applyFont="1" applyFill="1" applyBorder="1" applyAlignment="1" applyProtection="1">
      <alignment vertical="center" wrapText="1"/>
      <protection hidden="1"/>
    </xf>
    <xf numFmtId="0" fontId="26" fillId="4" borderId="14" xfId="0" applyFont="1" applyFill="1" applyBorder="1" applyAlignment="1">
      <alignment horizontal="center" vertical="center" wrapText="1"/>
    </xf>
    <xf numFmtId="0" fontId="26" fillId="4" borderId="28" xfId="0" applyFont="1" applyFill="1" applyBorder="1" applyAlignment="1">
      <alignment horizontal="center" vertical="center" wrapText="1"/>
    </xf>
    <xf numFmtId="0" fontId="26" fillId="4" borderId="29" xfId="0" applyFont="1" applyFill="1" applyBorder="1" applyAlignment="1">
      <alignment horizontal="center" vertical="center" wrapText="1"/>
    </xf>
    <xf numFmtId="0" fontId="26" fillId="4" borderId="22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 applyProtection="1">
      <alignment horizontal="center" vertical="center"/>
      <protection locked="0"/>
    </xf>
    <xf numFmtId="0" fontId="27" fillId="2" borderId="0" xfId="0" applyFont="1" applyFill="1" applyBorder="1" applyAlignment="1" applyProtection="1">
      <alignment horizontal="center" vertical="center" wrapText="1"/>
      <protection hidden="1"/>
    </xf>
    <xf numFmtId="0" fontId="18" fillId="2" borderId="0" xfId="0" applyFont="1" applyFill="1" applyBorder="1" applyAlignment="1">
      <alignment horizontal="center" vertical="center"/>
    </xf>
    <xf numFmtId="0" fontId="17" fillId="0" borderId="27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 applyProtection="1">
      <alignment horizontal="left" vertical="center"/>
      <protection locked="0"/>
    </xf>
    <xf numFmtId="0" fontId="19" fillId="2" borderId="0" xfId="0" applyFont="1" applyFill="1" applyBorder="1" applyAlignment="1" applyProtection="1">
      <alignment vertical="center"/>
      <protection locked="0"/>
    </xf>
    <xf numFmtId="0" fontId="17" fillId="2" borderId="30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vertical="top" wrapText="1"/>
    </xf>
    <xf numFmtId="0" fontId="17" fillId="2" borderId="27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left" vertical="top" wrapText="1"/>
    </xf>
    <xf numFmtId="0" fontId="25" fillId="2" borderId="0" xfId="0" applyFont="1" applyFill="1" applyBorder="1" applyAlignment="1" applyProtection="1">
      <alignment horizontal="center" vertical="center" wrapText="1"/>
      <protection hidden="1"/>
    </xf>
    <xf numFmtId="0" fontId="18" fillId="3" borderId="9" xfId="0" applyFont="1" applyFill="1" applyBorder="1" applyAlignment="1" applyProtection="1">
      <alignment horizontal="center" vertical="center" wrapText="1"/>
      <protection locked="0"/>
    </xf>
    <xf numFmtId="0" fontId="17" fillId="4" borderId="31" xfId="0" applyFont="1" applyFill="1" applyBorder="1" applyAlignment="1" applyProtection="1">
      <alignment horizontal="center" vertical="center" wrapText="1"/>
      <protection hidden="1"/>
    </xf>
    <xf numFmtId="0" fontId="17" fillId="4" borderId="11" xfId="0" applyFont="1" applyFill="1" applyBorder="1" applyAlignment="1" applyProtection="1">
      <alignment horizontal="center" vertical="center" wrapText="1"/>
      <protection hidden="1"/>
    </xf>
    <xf numFmtId="0" fontId="0" fillId="3" borderId="10" xfId="0" applyFont="1" applyFill="1" applyBorder="1" applyAlignment="1" applyProtection="1">
      <alignment horizontal="center" vertical="center" wrapText="1"/>
      <protection locked="0"/>
    </xf>
    <xf numFmtId="0" fontId="0" fillId="3" borderId="14" xfId="0" applyFont="1" applyFill="1" applyBorder="1" applyAlignment="1" applyProtection="1">
      <alignment horizontal="center" vertical="center" wrapText="1"/>
      <protection locked="0"/>
    </xf>
    <xf numFmtId="0" fontId="0" fillId="3" borderId="28" xfId="0" applyFont="1" applyFill="1" applyBorder="1" applyAlignment="1" applyProtection="1">
      <alignment horizontal="center" vertical="center" wrapText="1"/>
      <protection locked="0"/>
    </xf>
    <xf numFmtId="0" fontId="0" fillId="3" borderId="22" xfId="0" applyFont="1" applyFill="1" applyBorder="1" applyAlignment="1" applyProtection="1">
      <alignment horizontal="center" vertical="center" wrapText="1"/>
      <protection locked="0"/>
    </xf>
    <xf numFmtId="0" fontId="0" fillId="3" borderId="13" xfId="0" applyFont="1" applyFill="1" applyBorder="1" applyAlignment="1" applyProtection="1">
      <alignment horizontal="center" vertical="center" wrapText="1"/>
      <protection locked="0"/>
    </xf>
    <xf numFmtId="0" fontId="0" fillId="3" borderId="21" xfId="0" applyFont="1" applyFill="1" applyBorder="1" applyAlignment="1" applyProtection="1">
      <alignment horizontal="center" vertical="center" wrapText="1"/>
      <protection locked="0"/>
    </xf>
    <xf numFmtId="0" fontId="17" fillId="2" borderId="0" xfId="0" applyFont="1" applyFill="1" applyBorder="1" applyAlignment="1" applyProtection="1">
      <alignment horizontal="left" vertical="center" wrapText="1"/>
      <protection hidden="1"/>
    </xf>
    <xf numFmtId="0" fontId="18" fillId="2" borderId="32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8" fillId="2" borderId="31" xfId="0" applyFont="1" applyFill="1" applyBorder="1" applyAlignment="1" applyProtection="1">
      <alignment horizontal="center" vertical="center" wrapText="1"/>
      <protection hidden="1"/>
    </xf>
    <xf numFmtId="0" fontId="18" fillId="2" borderId="11" xfId="0" applyFont="1" applyFill="1" applyBorder="1" applyAlignment="1" applyProtection="1">
      <alignment horizontal="center" vertical="center" wrapText="1"/>
      <protection hidden="1"/>
    </xf>
    <xf numFmtId="0" fontId="18" fillId="3" borderId="10" xfId="0" applyFont="1" applyFill="1" applyBorder="1" applyAlignment="1" applyProtection="1">
      <alignment horizontal="center" vertical="center" wrapText="1"/>
      <protection locked="0"/>
    </xf>
    <xf numFmtId="0" fontId="18" fillId="2" borderId="12" xfId="0" applyFont="1" applyFill="1" applyBorder="1" applyAlignment="1" applyProtection="1">
      <alignment horizontal="center" vertical="center" wrapText="1"/>
      <protection hidden="1"/>
    </xf>
    <xf numFmtId="0" fontId="18" fillId="3" borderId="11" xfId="0" applyFont="1" applyFill="1" applyBorder="1" applyAlignment="1" applyProtection="1">
      <alignment horizontal="center" vertical="center" wrapText="1"/>
      <protection locked="0"/>
    </xf>
    <xf numFmtId="0" fontId="18" fillId="2" borderId="0" xfId="0" applyFont="1" applyFill="1" applyBorder="1" applyAlignment="1" applyProtection="1">
      <alignment horizontal="left" vertical="center" wrapText="1"/>
      <protection hidden="1"/>
    </xf>
    <xf numFmtId="0" fontId="19" fillId="2" borderId="0" xfId="0" applyFont="1" applyFill="1" applyAlignment="1" applyProtection="1">
      <alignment horizontal="center" vertical="center" wrapText="1"/>
      <protection hidden="1"/>
    </xf>
    <xf numFmtId="0" fontId="19" fillId="2" borderId="0" xfId="0" applyFont="1" applyFill="1" applyAlignment="1" applyProtection="1">
      <alignment horizontal="left" vertical="center" wrapText="1"/>
      <protection hidden="1"/>
    </xf>
    <xf numFmtId="0" fontId="18" fillId="2" borderId="13" xfId="0" applyFont="1" applyFill="1" applyBorder="1" applyAlignment="1" applyProtection="1">
      <alignment horizontal="center" vertical="center" wrapText="1"/>
      <protection hidden="1"/>
    </xf>
    <xf numFmtId="0" fontId="18" fillId="2" borderId="10" xfId="0" applyFont="1" applyFill="1" applyBorder="1" applyAlignment="1" applyProtection="1">
      <alignment horizontal="center" vertical="center" wrapText="1"/>
      <protection hidden="1"/>
    </xf>
    <xf numFmtId="0" fontId="21" fillId="2" borderId="0" xfId="0" applyFont="1" applyFill="1" applyBorder="1" applyAlignment="1" applyProtection="1">
      <alignment horizontal="center" vertical="center" wrapText="1"/>
      <protection hidden="1"/>
    </xf>
    <xf numFmtId="0" fontId="18" fillId="2" borderId="0" xfId="0" applyFont="1" applyFill="1" applyAlignment="1" applyProtection="1">
      <alignment horizontal="left" vertical="center" wrapText="1"/>
      <protection hidden="1"/>
    </xf>
    <xf numFmtId="0" fontId="17" fillId="4" borderId="28" xfId="0" applyFont="1" applyFill="1" applyBorder="1" applyAlignment="1" applyProtection="1">
      <alignment horizontal="center" vertical="center" wrapText="1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18" fillId="3" borderId="28" xfId="0" applyFont="1" applyFill="1" applyBorder="1" applyAlignment="1" applyProtection="1">
      <alignment horizontal="center" vertical="center" wrapText="1"/>
      <protection locked="0"/>
    </xf>
    <xf numFmtId="0" fontId="17" fillId="4" borderId="27" xfId="0" applyFont="1" applyFill="1" applyBorder="1" applyAlignment="1" applyProtection="1">
      <alignment horizontal="center" vertical="center" wrapText="1"/>
      <protection hidden="1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 wrapText="1"/>
    </xf>
    <xf numFmtId="0" fontId="28" fillId="2" borderId="0" xfId="0" applyFont="1" applyFill="1" applyBorder="1" applyAlignment="1" applyProtection="1">
      <alignment horizontal="center" vertical="center" wrapText="1"/>
      <protection hidden="1"/>
    </xf>
    <xf numFmtId="0" fontId="15" fillId="2" borderId="0" xfId="0" applyFont="1" applyFill="1" applyAlignment="1" applyProtection="1">
      <alignment horizontal="center" vertical="center" wrapText="1"/>
      <protection hidden="1"/>
    </xf>
    <xf numFmtId="0" fontId="0" fillId="3" borderId="24" xfId="0" applyFont="1" applyFill="1" applyBorder="1" applyAlignment="1" applyProtection="1">
      <alignment horizontal="center" vertical="center" wrapText="1"/>
      <protection locked="0"/>
    </xf>
    <xf numFmtId="0" fontId="0" fillId="3" borderId="33" xfId="0" applyFont="1" applyFill="1" applyBorder="1" applyAlignment="1" applyProtection="1">
      <alignment horizontal="center" vertical="center" wrapText="1"/>
      <protection locked="0"/>
    </xf>
    <xf numFmtId="0" fontId="0" fillId="3" borderId="29" xfId="0" applyFont="1" applyFill="1" applyBorder="1" applyAlignment="1" applyProtection="1">
      <alignment horizontal="center" vertical="center" wrapText="1"/>
      <protection locked="0"/>
    </xf>
    <xf numFmtId="0" fontId="0" fillId="3" borderId="34" xfId="0" applyFont="1" applyFill="1" applyBorder="1" applyAlignment="1" applyProtection="1">
      <alignment horizontal="center" vertical="center" wrapText="1"/>
      <protection locked="0"/>
    </xf>
    <xf numFmtId="0" fontId="15" fillId="2" borderId="2" xfId="0" applyFont="1" applyFill="1" applyBorder="1" applyAlignment="1">
      <alignment vertical="center" wrapText="1"/>
    </xf>
    <xf numFmtId="0" fontId="29" fillId="2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vertical="top" wrapText="1"/>
    </xf>
    <xf numFmtId="0" fontId="18" fillId="2" borderId="1" xfId="0" applyFont="1" applyFill="1" applyBorder="1" applyAlignment="1" applyProtection="1">
      <alignment horizontal="center" vertical="center" wrapText="1"/>
      <protection hidden="1"/>
    </xf>
    <xf numFmtId="187" fontId="18" fillId="2" borderId="0" xfId="0" applyNumberFormat="1" applyFont="1" applyFill="1" applyBorder="1" applyAlignment="1" applyProtection="1">
      <alignment vertical="center" wrapText="1"/>
      <protection hidden="1"/>
    </xf>
    <xf numFmtId="0" fontId="17" fillId="4" borderId="25" xfId="0" applyFont="1" applyFill="1" applyBorder="1" applyAlignment="1" applyProtection="1">
      <alignment horizontal="center" vertical="center" wrapText="1"/>
      <protection hidden="1"/>
    </xf>
    <xf numFmtId="0" fontId="18" fillId="0" borderId="0" xfId="0" applyFont="1" applyFill="1" applyAlignment="1" applyProtection="1">
      <alignment horizontal="center" vertical="center" wrapText="1"/>
      <protection hidden="1"/>
    </xf>
    <xf numFmtId="0" fontId="18" fillId="2" borderId="1" xfId="0" applyFont="1" applyFill="1" applyBorder="1" applyAlignment="1" applyProtection="1">
      <alignment horizontal="left" vertical="center" wrapText="1"/>
      <protection hidden="1"/>
    </xf>
    <xf numFmtId="0" fontId="18" fillId="2" borderId="0" xfId="0" applyFont="1" applyFill="1" applyBorder="1" applyAlignment="1" applyProtection="1">
      <alignment vertical="center" wrapText="1"/>
      <protection hidden="1"/>
    </xf>
    <xf numFmtId="0" fontId="18" fillId="2" borderId="2" xfId="0" applyFont="1" applyFill="1" applyBorder="1" applyAlignment="1" applyProtection="1">
      <alignment horizontal="left" vertical="center" wrapText="1"/>
      <protection hidden="1"/>
    </xf>
    <xf numFmtId="0" fontId="18" fillId="2" borderId="3" xfId="0" applyFont="1" applyFill="1" applyBorder="1" applyAlignment="1" applyProtection="1">
      <alignment horizontal="left" vertical="center" wrapText="1"/>
      <protection hidden="1"/>
    </xf>
    <xf numFmtId="0" fontId="18" fillId="2" borderId="4" xfId="0" applyFont="1" applyFill="1" applyBorder="1" applyAlignment="1" applyProtection="1">
      <alignment horizontal="left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1" xfId="0" applyFont="1" applyFill="1" applyBorder="1" applyAlignment="1" applyProtection="1">
      <alignment horizontal="right" vertical="center" wrapText="1"/>
      <protection hidden="1"/>
    </xf>
    <xf numFmtId="0" fontId="17" fillId="3" borderId="35" xfId="0" applyFont="1" applyFill="1" applyBorder="1" applyAlignment="1" applyProtection="1">
      <alignment horizontal="center" vertical="center" wrapText="1"/>
      <protection locked="0"/>
    </xf>
    <xf numFmtId="0" fontId="17" fillId="2" borderId="0" xfId="0" applyFont="1" applyFill="1" applyBorder="1" applyAlignment="1" applyProtection="1">
      <alignment horizontal="right" vertical="center" wrapText="1"/>
      <protection hidden="1"/>
    </xf>
    <xf numFmtId="0" fontId="17" fillId="2" borderId="6" xfId="0" applyFont="1" applyFill="1" applyBorder="1" applyAlignment="1" applyProtection="1">
      <alignment horizontal="right" vertical="center" wrapText="1"/>
      <protection hidden="1"/>
    </xf>
    <xf numFmtId="0" fontId="17" fillId="2" borderId="7" xfId="0" applyFont="1" applyFill="1" applyBorder="1" applyAlignment="1" applyProtection="1">
      <alignment horizontal="center" vertical="center" wrapText="1"/>
      <protection hidden="1"/>
    </xf>
    <xf numFmtId="0" fontId="17" fillId="2" borderId="7" xfId="0" applyFont="1" applyFill="1" applyBorder="1" applyAlignment="1" applyProtection="1">
      <alignment horizontal="right" vertical="center" wrapText="1"/>
      <protection hidden="1"/>
    </xf>
    <xf numFmtId="0" fontId="18" fillId="2" borderId="0" xfId="0" applyFont="1" applyFill="1" applyBorder="1" applyAlignment="1" applyProtection="1">
      <alignment horizontal="right" vertical="center" wrapText="1"/>
      <protection hidden="1"/>
    </xf>
    <xf numFmtId="0" fontId="30" fillId="2" borderId="0" xfId="0" applyFont="1" applyFill="1" applyBorder="1" applyAlignment="1" applyProtection="1">
      <alignment horizontal="center" vertical="center" wrapText="1"/>
      <protection hidden="1"/>
    </xf>
    <xf numFmtId="0" fontId="31" fillId="2" borderId="0" xfId="0" applyFont="1" applyFill="1" applyBorder="1" applyAlignment="1" applyProtection="1">
      <alignment horizontal="center" vertical="center" wrapText="1"/>
      <protection hidden="1"/>
    </xf>
    <xf numFmtId="0" fontId="18" fillId="0" borderId="16" xfId="0" applyFont="1" applyFill="1" applyBorder="1" applyAlignment="1" applyProtection="1">
      <alignment horizontal="center" vertical="center" wrapText="1"/>
      <protection hidden="1"/>
    </xf>
    <xf numFmtId="0" fontId="18" fillId="0" borderId="17" xfId="0" applyFont="1" applyFill="1" applyBorder="1" applyAlignment="1" applyProtection="1">
      <alignment horizontal="center" vertical="center" wrapText="1"/>
      <protection hidden="1"/>
    </xf>
    <xf numFmtId="1" fontId="30" fillId="2" borderId="0" xfId="0" applyNumberFormat="1" applyFont="1" applyFill="1" applyBorder="1" applyAlignment="1" applyProtection="1">
      <alignment horizontal="center" vertical="center" wrapText="1"/>
      <protection hidden="1"/>
    </xf>
    <xf numFmtId="195" fontId="30" fillId="2" borderId="0" xfId="0" applyNumberFormat="1" applyFont="1" applyFill="1" applyBorder="1" applyAlignment="1" applyProtection="1">
      <alignment horizontal="center" vertical="center" wrapText="1"/>
      <protection hidden="1"/>
    </xf>
    <xf numFmtId="195" fontId="18" fillId="2" borderId="2" xfId="0" applyNumberFormat="1" applyFont="1" applyFill="1" applyBorder="1" applyAlignment="1" applyProtection="1">
      <alignment horizontal="center" vertical="center" wrapText="1"/>
      <protection hidden="1"/>
    </xf>
    <xf numFmtId="0" fontId="18" fillId="0" borderId="13" xfId="0" applyFont="1" applyFill="1" applyBorder="1" applyAlignment="1" applyProtection="1">
      <alignment horizontal="center" vertical="center" wrapText="1"/>
      <protection hidden="1"/>
    </xf>
    <xf numFmtId="0" fontId="18" fillId="0" borderId="10" xfId="0" applyFont="1" applyFill="1" applyBorder="1" applyAlignment="1" applyProtection="1">
      <alignment horizontal="center" vertical="center" wrapText="1"/>
      <protection hidden="1"/>
    </xf>
    <xf numFmtId="1" fontId="31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32" fillId="2" borderId="0" xfId="0" applyFont="1" applyFill="1" applyBorder="1" applyAlignment="1" applyProtection="1">
      <alignment horizontal="center" vertical="center" wrapText="1"/>
      <protection hidden="1"/>
    </xf>
    <xf numFmtId="195" fontId="33" fillId="2" borderId="0" xfId="0" applyNumberFormat="1" applyFont="1" applyFill="1" applyBorder="1" applyAlignment="1" applyProtection="1">
      <alignment horizontal="center" vertical="center" wrapText="1"/>
      <protection hidden="1"/>
    </xf>
    <xf numFmtId="1" fontId="33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33" fillId="2" borderId="0" xfId="0" applyFont="1" applyFill="1" applyBorder="1" applyAlignment="1" applyProtection="1">
      <alignment horizontal="center" vertical="center" wrapText="1"/>
      <protection hidden="1"/>
    </xf>
    <xf numFmtId="0" fontId="34" fillId="2" borderId="0" xfId="0" applyFont="1" applyFill="1" applyBorder="1" applyAlignment="1" applyProtection="1">
      <alignment horizontal="center" vertical="center" wrapText="1"/>
      <protection hidden="1"/>
    </xf>
    <xf numFmtId="0" fontId="18" fillId="2" borderId="2" xfId="0" applyFont="1" applyFill="1" applyBorder="1" applyAlignment="1" applyProtection="1">
      <alignment vertical="center" wrapText="1"/>
      <protection hidden="1"/>
    </xf>
    <xf numFmtId="0" fontId="30" fillId="2" borderId="2" xfId="0" applyFont="1" applyFill="1" applyBorder="1" applyAlignment="1" applyProtection="1">
      <alignment vertical="center" wrapText="1"/>
      <protection hidden="1"/>
    </xf>
    <xf numFmtId="0" fontId="30" fillId="2" borderId="2" xfId="0" applyFont="1" applyFill="1" applyBorder="1" applyAlignment="1" applyProtection="1">
      <alignment horizontal="center" vertical="center" wrapText="1"/>
      <protection hidden="1"/>
    </xf>
    <xf numFmtId="0" fontId="34" fillId="3" borderId="9" xfId="0" applyFont="1" applyFill="1" applyBorder="1" applyAlignment="1" applyProtection="1">
      <alignment horizontal="center" vertical="center" wrapText="1"/>
      <protection locked="0"/>
    </xf>
    <xf numFmtId="0" fontId="33" fillId="2" borderId="18" xfId="0" applyFont="1" applyFill="1" applyBorder="1" applyAlignment="1" applyProtection="1">
      <alignment horizontal="center" vertical="center" wrapText="1"/>
      <protection hidden="1"/>
    </xf>
    <xf numFmtId="0" fontId="34" fillId="3" borderId="10" xfId="0" applyFont="1" applyFill="1" applyBorder="1" applyAlignment="1" applyProtection="1">
      <alignment horizontal="center" vertical="center" wrapText="1"/>
      <protection locked="0"/>
    </xf>
    <xf numFmtId="0" fontId="33" fillId="2" borderId="21" xfId="0" applyFont="1" applyFill="1" applyBorder="1" applyAlignment="1" applyProtection="1">
      <alignment horizontal="center" vertical="center" wrapText="1"/>
      <protection hidden="1"/>
    </xf>
    <xf numFmtId="0" fontId="34" fillId="0" borderId="10" xfId="0" applyNumberFormat="1" applyFont="1" applyFill="1" applyBorder="1" applyAlignment="1" applyProtection="1">
      <alignment horizontal="center" vertical="center" wrapText="1"/>
      <protection hidden="1"/>
    </xf>
    <xf numFmtId="195" fontId="34" fillId="2" borderId="28" xfId="0" applyNumberFormat="1" applyFont="1" applyFill="1" applyBorder="1" applyAlignment="1" applyProtection="1">
      <alignment horizontal="center" vertical="center" wrapText="1"/>
      <protection hidden="1"/>
    </xf>
    <xf numFmtId="0" fontId="33" fillId="2" borderId="22" xfId="0" applyFont="1" applyFill="1" applyBorder="1" applyAlignment="1" applyProtection="1">
      <alignment horizontal="center" vertical="center" wrapText="1"/>
      <protection hidden="1"/>
    </xf>
    <xf numFmtId="210" fontId="31" fillId="2" borderId="0" xfId="2" applyNumberFormat="1" applyFont="1" applyFill="1" applyBorder="1" applyAlignment="1" applyProtection="1">
      <alignment vertical="center" wrapText="1"/>
      <protection hidden="1"/>
    </xf>
    <xf numFmtId="0" fontId="18" fillId="5" borderId="30" xfId="0" applyFont="1" applyFill="1" applyBorder="1" applyAlignment="1" applyProtection="1">
      <alignment horizontal="center" vertical="center" wrapText="1"/>
      <protection hidden="1"/>
    </xf>
    <xf numFmtId="0" fontId="33" fillId="2" borderId="0" xfId="0" applyFont="1" applyFill="1" applyBorder="1" applyAlignment="1" applyProtection="1">
      <alignment vertical="center" wrapText="1"/>
      <protection hidden="1"/>
    </xf>
    <xf numFmtId="0" fontId="18" fillId="2" borderId="1" xfId="0" applyFont="1" applyFill="1" applyBorder="1" applyAlignment="1" applyProtection="1">
      <alignment vertical="center" wrapText="1"/>
      <protection hidden="1"/>
    </xf>
    <xf numFmtId="0" fontId="17" fillId="3" borderId="9" xfId="0" applyFont="1" applyFill="1" applyBorder="1" applyAlignment="1" applyProtection="1">
      <alignment horizontal="center" vertical="center" wrapText="1"/>
      <protection locked="0"/>
    </xf>
    <xf numFmtId="9" fontId="17" fillId="2" borderId="9" xfId="3" applyNumberFormat="1" applyFont="1" applyFill="1" applyBorder="1" applyAlignment="1" applyProtection="1">
      <alignment horizontal="center" vertical="center" wrapText="1"/>
      <protection hidden="1"/>
    </xf>
    <xf numFmtId="0" fontId="17" fillId="3" borderId="18" xfId="0" applyFont="1" applyFill="1" applyBorder="1" applyAlignment="1" applyProtection="1">
      <alignment horizontal="center" vertical="center" wrapText="1"/>
      <protection locked="0"/>
    </xf>
    <xf numFmtId="0" fontId="17" fillId="3" borderId="10" xfId="0" applyFont="1" applyFill="1" applyBorder="1" applyAlignment="1" applyProtection="1">
      <alignment horizontal="center" vertical="center" wrapText="1"/>
      <protection locked="0"/>
    </xf>
    <xf numFmtId="9" fontId="17" fillId="2" borderId="10" xfId="3" applyNumberFormat="1" applyFont="1" applyFill="1" applyBorder="1" applyAlignment="1" applyProtection="1">
      <alignment horizontal="center" vertical="center" wrapText="1"/>
      <protection hidden="1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9" fontId="17" fillId="2" borderId="28" xfId="0" applyNumberFormat="1" applyFont="1" applyFill="1" applyBorder="1" applyAlignment="1" applyProtection="1">
      <alignment horizontal="center" vertical="center" wrapText="1"/>
      <protection hidden="1"/>
    </xf>
    <xf numFmtId="0" fontId="34" fillId="2" borderId="2" xfId="0" applyFont="1" applyFill="1" applyBorder="1" applyAlignment="1" applyProtection="1">
      <alignment vertical="center" wrapText="1"/>
      <protection hidden="1"/>
    </xf>
    <xf numFmtId="0" fontId="33" fillId="2" borderId="0" xfId="0" applyFont="1" applyFill="1" applyAlignment="1" applyProtection="1">
      <alignment horizontal="center" vertical="center" wrapText="1"/>
      <protection hidden="1"/>
    </xf>
    <xf numFmtId="0" fontId="17" fillId="4" borderId="22" xfId="0" applyFont="1" applyFill="1" applyBorder="1" applyAlignment="1" applyProtection="1">
      <alignment horizontal="center" vertical="center" wrapText="1"/>
      <protection hidden="1"/>
    </xf>
    <xf numFmtId="0" fontId="34" fillId="2" borderId="2" xfId="0" applyFont="1" applyFill="1" applyBorder="1" applyAlignment="1" applyProtection="1">
      <alignment horizontal="center" vertical="center" wrapText="1"/>
      <protection hidden="1"/>
    </xf>
    <xf numFmtId="2" fontId="32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32" fillId="2" borderId="0" xfId="0" applyFont="1" applyFill="1" applyAlignment="1" applyProtection="1">
      <alignment horizontal="center" vertical="center" wrapText="1"/>
      <protection hidden="1"/>
    </xf>
    <xf numFmtId="0" fontId="18" fillId="3" borderId="16" xfId="0" applyFont="1" applyFill="1" applyBorder="1" applyAlignment="1" applyProtection="1">
      <alignment horizontal="center" vertical="center" wrapText="1"/>
      <protection locked="0"/>
    </xf>
    <xf numFmtId="0" fontId="18" fillId="3" borderId="17" xfId="0" applyFont="1" applyFill="1" applyBorder="1" applyAlignment="1" applyProtection="1">
      <alignment horizontal="center" vertical="center" wrapText="1"/>
      <protection locked="0"/>
    </xf>
    <xf numFmtId="196" fontId="18" fillId="0" borderId="17" xfId="3" applyNumberFormat="1" applyFont="1" applyFill="1" applyBorder="1" applyAlignment="1" applyProtection="1">
      <alignment horizontal="center" vertical="center" wrapText="1"/>
      <protection hidden="1"/>
    </xf>
    <xf numFmtId="1" fontId="18" fillId="0" borderId="17" xfId="0" applyNumberFormat="1" applyFont="1" applyFill="1" applyBorder="1" applyAlignment="1" applyProtection="1">
      <alignment horizontal="center" vertical="center" wrapText="1"/>
      <protection hidden="1"/>
    </xf>
    <xf numFmtId="9" fontId="18" fillId="0" borderId="17" xfId="0" applyNumberFormat="1" applyFont="1" applyFill="1" applyBorder="1" applyAlignment="1" applyProtection="1">
      <alignment horizontal="center" vertical="center" wrapText="1"/>
      <protection hidden="1"/>
    </xf>
    <xf numFmtId="193" fontId="18" fillId="2" borderId="17" xfId="0" applyNumberFormat="1" applyFont="1" applyFill="1" applyBorder="1" applyAlignment="1" applyProtection="1">
      <alignment horizontal="center" vertical="center" wrapText="1"/>
      <protection hidden="1"/>
    </xf>
    <xf numFmtId="193" fontId="18" fillId="2" borderId="36" xfId="0" applyNumberFormat="1" applyFont="1" applyFill="1" applyBorder="1" applyAlignment="1" applyProtection="1">
      <alignment horizontal="center" vertical="center" wrapText="1"/>
      <protection hidden="1"/>
    </xf>
    <xf numFmtId="0" fontId="30" fillId="2" borderId="2" xfId="0" applyFont="1" applyFill="1" applyBorder="1" applyAlignment="1" applyProtection="1">
      <alignment horizontal="center" vertical="center"/>
      <protection hidden="1"/>
    </xf>
    <xf numFmtId="1" fontId="30" fillId="2" borderId="0" xfId="0" applyNumberFormat="1" applyFont="1" applyFill="1" applyAlignment="1" applyProtection="1">
      <alignment horizontal="center" vertical="center" wrapText="1"/>
      <protection hidden="1"/>
    </xf>
    <xf numFmtId="2" fontId="33" fillId="2" borderId="0" xfId="0" applyNumberFormat="1" applyFont="1" applyFill="1" applyAlignment="1" applyProtection="1">
      <alignment horizontal="center" vertical="center" wrapText="1"/>
      <protection hidden="1"/>
    </xf>
    <xf numFmtId="196" fontId="18" fillId="0" borderId="10" xfId="3" applyNumberFormat="1" applyFont="1" applyFill="1" applyBorder="1" applyAlignment="1" applyProtection="1">
      <alignment horizontal="center" vertical="center" wrapText="1"/>
      <protection hidden="1"/>
    </xf>
    <xf numFmtId="1" fontId="18" fillId="0" borderId="10" xfId="0" applyNumberFormat="1" applyFont="1" applyFill="1" applyBorder="1" applyAlignment="1" applyProtection="1">
      <alignment horizontal="center" vertical="center" wrapText="1"/>
      <protection hidden="1"/>
    </xf>
    <xf numFmtId="9" fontId="18" fillId="0" borderId="10" xfId="0" applyNumberFormat="1" applyFont="1" applyFill="1" applyBorder="1" applyAlignment="1" applyProtection="1">
      <alignment horizontal="center" vertical="center" wrapText="1"/>
      <protection hidden="1"/>
    </xf>
    <xf numFmtId="9" fontId="18" fillId="0" borderId="10" xfId="0" applyNumberFormat="1" applyFont="1" applyBorder="1" applyAlignment="1" applyProtection="1">
      <alignment horizontal="center" vertical="center" wrapText="1"/>
      <protection hidden="1"/>
    </xf>
    <xf numFmtId="0" fontId="18" fillId="0" borderId="28" xfId="0" applyFont="1" applyFill="1" applyBorder="1" applyAlignment="1" applyProtection="1">
      <alignment horizontal="center" vertical="center" wrapText="1"/>
      <protection hidden="1"/>
    </xf>
    <xf numFmtId="196" fontId="18" fillId="0" borderId="28" xfId="3" applyNumberFormat="1" applyFont="1" applyFill="1" applyBorder="1" applyAlignment="1" applyProtection="1">
      <alignment horizontal="center" vertical="center" wrapText="1"/>
      <protection hidden="1"/>
    </xf>
    <xf numFmtId="1" fontId="18" fillId="0" borderId="28" xfId="0" applyNumberFormat="1" applyFont="1" applyFill="1" applyBorder="1" applyAlignment="1" applyProtection="1">
      <alignment horizontal="center" vertical="center" wrapText="1"/>
      <protection hidden="1"/>
    </xf>
    <xf numFmtId="9" fontId="18" fillId="0" borderId="28" xfId="0" applyNumberFormat="1" applyFont="1" applyBorder="1" applyAlignment="1" applyProtection="1">
      <alignment horizontal="center" vertical="center" wrapText="1"/>
      <protection hidden="1"/>
    </xf>
    <xf numFmtId="193" fontId="18" fillId="2" borderId="37" xfId="0" applyNumberFormat="1" applyFont="1" applyFill="1" applyBorder="1" applyAlignment="1" applyProtection="1">
      <alignment horizontal="center" vertical="center" wrapText="1"/>
      <protection hidden="1"/>
    </xf>
    <xf numFmtId="193" fontId="18" fillId="2" borderId="38" xfId="0" applyNumberFormat="1" applyFont="1" applyFill="1" applyBorder="1" applyAlignment="1" applyProtection="1">
      <alignment horizontal="center" vertical="center" wrapText="1"/>
      <protection hidden="1"/>
    </xf>
    <xf numFmtId="187" fontId="18" fillId="3" borderId="16" xfId="0" applyNumberFormat="1" applyFont="1" applyFill="1" applyBorder="1" applyAlignment="1" applyProtection="1">
      <alignment horizontal="center" vertical="center" wrapText="1"/>
      <protection locked="0"/>
    </xf>
    <xf numFmtId="201" fontId="18" fillId="3" borderId="17" xfId="0" applyNumberFormat="1" applyFont="1" applyFill="1" applyBorder="1" applyAlignment="1" applyProtection="1">
      <alignment horizontal="center" vertical="center" wrapText="1"/>
      <protection locked="0"/>
    </xf>
    <xf numFmtId="187" fontId="18" fillId="3" borderId="13" xfId="0" applyNumberFormat="1" applyFont="1" applyFill="1" applyBorder="1" applyAlignment="1" applyProtection="1">
      <alignment horizontal="center" vertical="center" wrapText="1"/>
      <protection locked="0"/>
    </xf>
    <xf numFmtId="201" fontId="18" fillId="3" borderId="10" xfId="0" applyNumberFormat="1" applyFont="1" applyFill="1" applyBorder="1" applyAlignment="1" applyProtection="1">
      <alignment horizontal="center" vertical="center" wrapText="1"/>
      <protection locked="0"/>
    </xf>
    <xf numFmtId="187" fontId="18" fillId="3" borderId="14" xfId="0" applyNumberFormat="1" applyFont="1" applyFill="1" applyBorder="1" applyAlignment="1" applyProtection="1">
      <alignment horizontal="center" vertical="center" wrapText="1"/>
      <protection locked="0"/>
    </xf>
    <xf numFmtId="201" fontId="18" fillId="3" borderId="28" xfId="0" applyNumberFormat="1" applyFont="1" applyFill="1" applyBorder="1" applyAlignment="1" applyProtection="1">
      <alignment horizontal="center" vertical="center" wrapText="1"/>
      <protection locked="0"/>
    </xf>
    <xf numFmtId="0" fontId="18" fillId="2" borderId="0" xfId="0" applyFont="1" applyFill="1" applyBorder="1" applyAlignment="1" applyProtection="1">
      <alignment horizontal="center" vertical="center" wrapText="1"/>
      <protection locked="0"/>
    </xf>
    <xf numFmtId="201" fontId="18" fillId="2" borderId="0" xfId="0" applyNumberFormat="1" applyFont="1" applyFill="1" applyBorder="1" applyAlignment="1" applyProtection="1">
      <alignment horizontal="center" vertical="center" wrapText="1"/>
      <protection locked="0"/>
    </xf>
    <xf numFmtId="201" fontId="18" fillId="2" borderId="0" xfId="0" applyNumberFormat="1" applyFont="1" applyFill="1" applyBorder="1" applyAlignment="1" applyProtection="1">
      <alignment horizontal="center" vertical="center" wrapText="1"/>
      <protection hidden="1"/>
    </xf>
    <xf numFmtId="187" fontId="18" fillId="3" borderId="32" xfId="0" applyNumberFormat="1" applyFont="1" applyFill="1" applyBorder="1" applyAlignment="1" applyProtection="1">
      <alignment horizontal="center" vertical="center" wrapText="1"/>
      <protection locked="0"/>
    </xf>
    <xf numFmtId="0" fontId="17" fillId="2" borderId="7" xfId="0" applyFont="1" applyFill="1" applyBorder="1" applyAlignment="1" applyProtection="1">
      <alignment vertical="center" wrapText="1"/>
      <protection hidden="1"/>
    </xf>
    <xf numFmtId="0" fontId="18" fillId="2" borderId="6" xfId="0" applyFont="1" applyFill="1" applyBorder="1" applyAlignment="1" applyProtection="1">
      <alignment horizontal="center" vertical="center" wrapText="1"/>
      <protection hidden="1"/>
    </xf>
    <xf numFmtId="0" fontId="18" fillId="2" borderId="7" xfId="0" applyFont="1" applyFill="1" applyBorder="1" applyAlignment="1" applyProtection="1">
      <alignment horizontal="center" vertical="center" wrapText="1"/>
      <protection hidden="1"/>
    </xf>
    <xf numFmtId="0" fontId="18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2" xfId="0" applyFont="1" applyFill="1" applyBorder="1" applyAlignment="1">
      <alignment vertical="center" wrapText="1"/>
    </xf>
    <xf numFmtId="0" fontId="35" fillId="2" borderId="1" xfId="0" applyFont="1" applyFill="1" applyBorder="1" applyAlignment="1">
      <alignment vertical="center"/>
    </xf>
    <xf numFmtId="0" fontId="35" fillId="2" borderId="0" xfId="0" applyFont="1" applyFill="1" applyBorder="1" applyAlignment="1">
      <alignment vertical="center"/>
    </xf>
    <xf numFmtId="0" fontId="35" fillId="2" borderId="2" xfId="0" applyFont="1" applyFill="1" applyBorder="1" applyAlignment="1">
      <alignment vertical="center"/>
    </xf>
    <xf numFmtId="0" fontId="35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vertical="center" wrapText="1"/>
    </xf>
    <xf numFmtId="0" fontId="17" fillId="2" borderId="0" xfId="0" applyFont="1" applyFill="1" applyAlignment="1">
      <alignment vertical="center"/>
    </xf>
    <xf numFmtId="0" fontId="18" fillId="3" borderId="39" xfId="0" applyFont="1" applyFill="1" applyBorder="1" applyAlignment="1" applyProtection="1">
      <alignment vertical="center" wrapText="1"/>
      <protection locked="0"/>
    </xf>
    <xf numFmtId="0" fontId="18" fillId="3" borderId="37" xfId="0" applyFont="1" applyFill="1" applyBorder="1" applyAlignment="1" applyProtection="1">
      <alignment vertical="center" wrapText="1"/>
      <protection locked="0"/>
    </xf>
    <xf numFmtId="0" fontId="18" fillId="3" borderId="40" xfId="0" applyFont="1" applyFill="1" applyBorder="1" applyAlignment="1" applyProtection="1">
      <alignment vertical="center" wrapText="1"/>
      <protection locked="0"/>
    </xf>
    <xf numFmtId="0" fontId="18" fillId="3" borderId="41" xfId="0" applyFont="1" applyFill="1" applyBorder="1" applyAlignment="1" applyProtection="1">
      <alignment vertical="center" wrapText="1"/>
      <protection locked="0"/>
    </xf>
    <xf numFmtId="0" fontId="18" fillId="3" borderId="38" xfId="0" applyFont="1" applyFill="1" applyBorder="1" applyAlignment="1" applyProtection="1">
      <alignment vertical="center" wrapText="1"/>
      <protection locked="0"/>
    </xf>
    <xf numFmtId="0" fontId="18" fillId="2" borderId="1" xfId="0" applyFont="1" applyFill="1" applyBorder="1" applyAlignment="1">
      <alignment vertical="center" wrapText="1"/>
    </xf>
    <xf numFmtId="0" fontId="0" fillId="3" borderId="42" xfId="0" applyFont="1" applyFill="1" applyBorder="1" applyAlignment="1" applyProtection="1">
      <alignment horizontal="center" vertical="center" wrapText="1"/>
      <protection locked="0"/>
    </xf>
    <xf numFmtId="0" fontId="0" fillId="3" borderId="36" xfId="0" applyFont="1" applyFill="1" applyBorder="1" applyAlignment="1" applyProtection="1">
      <alignment horizontal="center" vertical="center" wrapText="1"/>
      <protection locked="0"/>
    </xf>
    <xf numFmtId="0" fontId="22" fillId="2" borderId="0" xfId="0" applyFont="1" applyFill="1" applyBorder="1" applyAlignment="1">
      <alignment vertical="center"/>
    </xf>
    <xf numFmtId="187" fontId="19" fillId="2" borderId="12" xfId="0" applyNumberFormat="1" applyFont="1" applyFill="1" applyBorder="1" applyAlignment="1" applyProtection="1">
      <alignment vertical="center"/>
    </xf>
    <xf numFmtId="0" fontId="17" fillId="0" borderId="15" xfId="0" applyFont="1" applyFill="1" applyBorder="1" applyAlignment="1" applyProtection="1">
      <alignment horizontal="center" vertical="center"/>
    </xf>
    <xf numFmtId="0" fontId="17" fillId="2" borderId="9" xfId="0" applyFont="1" applyFill="1" applyBorder="1" applyAlignment="1" applyProtection="1">
      <alignment horizontal="center" vertical="center"/>
    </xf>
    <xf numFmtId="0" fontId="17" fillId="2" borderId="28" xfId="0" applyFont="1" applyFill="1" applyBorder="1" applyAlignment="1" applyProtection="1">
      <alignment horizontal="center" vertical="center"/>
    </xf>
    <xf numFmtId="0" fontId="18" fillId="2" borderId="9" xfId="0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 applyProtection="1">
      <alignment horizontal="center" vertical="center"/>
    </xf>
    <xf numFmtId="0" fontId="17" fillId="2" borderId="28" xfId="0" applyFont="1" applyFill="1" applyBorder="1" applyAlignment="1" applyProtection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9" fillId="2" borderId="0" xfId="0" applyFont="1" applyFill="1" applyBorder="1" applyAlignment="1" applyProtection="1">
      <alignment horizontal="left" vertical="center"/>
    </xf>
    <xf numFmtId="0" fontId="0" fillId="2" borderId="2" xfId="0" applyFont="1" applyFill="1" applyBorder="1" applyAlignment="1" applyProtection="1">
      <alignment vertical="center"/>
    </xf>
    <xf numFmtId="0" fontId="0" fillId="2" borderId="0" xfId="0" applyFont="1" applyFill="1" applyAlignment="1" applyProtection="1">
      <alignment vertical="center"/>
    </xf>
    <xf numFmtId="0" fontId="36" fillId="0" borderId="0" xfId="0" applyFont="1" applyBorder="1" applyProtection="1"/>
    <xf numFmtId="0" fontId="18" fillId="2" borderId="0" xfId="0" applyFont="1" applyFill="1" applyBorder="1" applyAlignment="1" applyProtection="1">
      <alignment horizontal="center" vertical="center" wrapText="1"/>
    </xf>
    <xf numFmtId="0" fontId="17" fillId="3" borderId="21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Fill="1" applyBorder="1" applyAlignment="1" applyProtection="1">
      <alignment horizontal="center" vertical="center" wrapText="1"/>
    </xf>
    <xf numFmtId="0" fontId="18" fillId="2" borderId="27" xfId="0" applyFont="1" applyFill="1" applyBorder="1" applyAlignment="1" applyProtection="1">
      <alignment horizontal="center" vertical="center" wrapText="1"/>
    </xf>
    <xf numFmtId="0" fontId="18" fillId="2" borderId="0" xfId="0" applyFont="1" applyFill="1" applyBorder="1" applyAlignment="1" applyProtection="1">
      <alignment vertical="center" wrapText="1"/>
    </xf>
    <xf numFmtId="0" fontId="17" fillId="2" borderId="0" xfId="0" applyFont="1" applyFill="1" applyBorder="1" applyAlignment="1" applyProtection="1">
      <alignment vertical="center" wrapText="1"/>
    </xf>
    <xf numFmtId="0" fontId="17" fillId="2" borderId="1" xfId="0" applyFont="1" applyFill="1" applyBorder="1" applyAlignment="1" applyProtection="1">
      <alignment vertical="center"/>
    </xf>
    <xf numFmtId="0" fontId="18" fillId="2" borderId="0" xfId="0" applyFont="1" applyFill="1" applyBorder="1" applyAlignment="1" applyProtection="1">
      <alignment horizontal="center" vertical="top"/>
    </xf>
    <xf numFmtId="0" fontId="18" fillId="2" borderId="2" xfId="0" applyFont="1" applyFill="1" applyBorder="1" applyAlignment="1" applyProtection="1">
      <alignment vertical="center"/>
    </xf>
    <xf numFmtId="0" fontId="18" fillId="2" borderId="0" xfId="0" applyFont="1" applyFill="1" applyAlignment="1" applyProtection="1">
      <alignment vertical="center"/>
    </xf>
    <xf numFmtId="0" fontId="18" fillId="2" borderId="0" xfId="0" applyFont="1" applyFill="1" applyBorder="1" applyAlignment="1" applyProtection="1">
      <alignment vertical="center"/>
    </xf>
    <xf numFmtId="0" fontId="32" fillId="2" borderId="0" xfId="0" applyFont="1" applyFill="1" applyAlignment="1" applyProtection="1">
      <alignment vertical="center" wrapText="1"/>
    </xf>
    <xf numFmtId="0" fontId="18" fillId="2" borderId="10" xfId="0" applyFont="1" applyFill="1" applyBorder="1" applyAlignment="1" applyProtection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right" vertical="center"/>
    </xf>
    <xf numFmtId="0" fontId="18" fillId="2" borderId="0" xfId="0" applyFont="1" applyFill="1" applyBorder="1" applyAlignment="1" applyProtection="1">
      <alignment horizontal="center" vertical="center"/>
    </xf>
    <xf numFmtId="0" fontId="32" fillId="2" borderId="0" xfId="0" applyFont="1" applyFill="1" applyAlignment="1" applyProtection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7" fillId="2" borderId="2" xfId="0" applyFont="1" applyFill="1" applyBorder="1" applyAlignment="1">
      <alignment horizontal="center" vertical="center" wrapText="1"/>
    </xf>
    <xf numFmtId="0" fontId="37" fillId="2" borderId="0" xfId="0" applyFont="1" applyFill="1" applyAlignment="1">
      <alignment horizontal="center" vertical="center" wrapText="1"/>
    </xf>
    <xf numFmtId="0" fontId="37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31" fillId="2" borderId="0" xfId="0" applyFont="1" applyFill="1" applyBorder="1" applyAlignment="1" applyProtection="1">
      <alignment horizontal="center" vertical="center" wrapText="1"/>
      <protection hidden="1"/>
    </xf>
    <xf numFmtId="0" fontId="18" fillId="2" borderId="28" xfId="0" applyFont="1" applyFill="1" applyBorder="1" applyAlignment="1" applyProtection="1">
      <alignment horizontal="center" vertical="center" wrapText="1"/>
    </xf>
    <xf numFmtId="0" fontId="17" fillId="4" borderId="15" xfId="0" applyFont="1" applyFill="1" applyBorder="1" applyAlignment="1" applyProtection="1">
      <alignment horizontal="center" vertical="center" wrapText="1"/>
      <protection hidden="1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0" fontId="17" fillId="3" borderId="18" xfId="0" applyFont="1" applyFill="1" applyBorder="1" applyAlignment="1" applyProtection="1">
      <alignment horizontal="center" vertical="center" wrapText="1"/>
      <protection locked="0"/>
    </xf>
    <xf numFmtId="0" fontId="17" fillId="3" borderId="21" xfId="0" applyFont="1" applyFill="1" applyBorder="1" applyAlignment="1" applyProtection="1">
      <alignment horizontal="center" vertical="center" wrapText="1"/>
      <protection locked="0"/>
    </xf>
    <xf numFmtId="0" fontId="17" fillId="2" borderId="9" xfId="0" applyFont="1" applyFill="1" applyBorder="1" applyAlignment="1" applyProtection="1">
      <alignment horizontal="center" vertical="center"/>
    </xf>
    <xf numFmtId="0" fontId="17" fillId="2" borderId="28" xfId="0" applyFont="1" applyFill="1" applyBorder="1" applyAlignment="1" applyProtection="1">
      <alignment horizontal="center" vertical="center"/>
    </xf>
    <xf numFmtId="198" fontId="31" fillId="2" borderId="0" xfId="1" applyNumberFormat="1" applyFont="1" applyFill="1" applyBorder="1" applyAlignment="1" applyProtection="1">
      <alignment horizontal="center" vertical="center" wrapText="1"/>
      <protection hidden="1"/>
    </xf>
    <xf numFmtId="0" fontId="17" fillId="4" borderId="35" xfId="0" applyFont="1" applyFill="1" applyBorder="1" applyAlignment="1" applyProtection="1">
      <alignment horizontal="center" vertical="center" wrapText="1"/>
      <protection hidden="1"/>
    </xf>
    <xf numFmtId="0" fontId="18" fillId="2" borderId="43" xfId="0" applyFont="1" applyFill="1" applyBorder="1" applyAlignment="1" applyProtection="1">
      <alignment horizontal="center" vertical="center" wrapText="1"/>
      <protection hidden="1"/>
    </xf>
    <xf numFmtId="1" fontId="18" fillId="2" borderId="44" xfId="0" applyNumberFormat="1" applyFont="1" applyFill="1" applyBorder="1" applyAlignment="1" applyProtection="1">
      <alignment horizontal="center" vertical="center" wrapText="1"/>
      <protection hidden="1"/>
    </xf>
    <xf numFmtId="0" fontId="17" fillId="5" borderId="35" xfId="0" applyFont="1" applyFill="1" applyBorder="1" applyAlignment="1" applyProtection="1">
      <alignment horizontal="center" vertical="center" wrapText="1"/>
      <protection hidden="1"/>
    </xf>
    <xf numFmtId="1" fontId="18" fillId="3" borderId="21" xfId="0" applyNumberFormat="1" applyFont="1" applyFill="1" applyBorder="1" applyAlignment="1" applyProtection="1">
      <alignment horizontal="center" vertical="center" wrapText="1"/>
      <protection locked="0"/>
    </xf>
    <xf numFmtId="1" fontId="17" fillId="0" borderId="15" xfId="0" applyNumberFormat="1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  <protection locked="0"/>
    </xf>
    <xf numFmtId="0" fontId="18" fillId="2" borderId="0" xfId="0" applyFont="1" applyFill="1" applyBorder="1" applyAlignment="1" applyProtection="1">
      <alignment horizontal="left" vertical="center" wrapText="1"/>
      <protection hidden="1"/>
    </xf>
    <xf numFmtId="0" fontId="17" fillId="3" borderId="9" xfId="0" applyFont="1" applyFill="1" applyBorder="1" applyAlignment="1" applyProtection="1">
      <alignment horizontal="center" vertical="center" wrapText="1"/>
      <protection locked="0"/>
    </xf>
    <xf numFmtId="0" fontId="17" fillId="3" borderId="10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0" fontId="18" fillId="3" borderId="14" xfId="0" applyFont="1" applyFill="1" applyBorder="1" applyAlignment="1" applyProtection="1">
      <alignment horizontal="center" vertical="center" wrapText="1"/>
      <protection locked="0"/>
    </xf>
    <xf numFmtId="0" fontId="18" fillId="3" borderId="32" xfId="0" applyFont="1" applyFill="1" applyBorder="1" applyAlignment="1" applyProtection="1">
      <alignment horizontal="center" vertical="center" wrapText="1"/>
      <protection locked="0"/>
    </xf>
    <xf numFmtId="0" fontId="18" fillId="3" borderId="13" xfId="0" applyFont="1" applyFill="1" applyBorder="1" applyAlignment="1" applyProtection="1">
      <alignment horizontal="center" vertical="center" wrapText="1"/>
      <protection locked="0"/>
    </xf>
    <xf numFmtId="0" fontId="17" fillId="3" borderId="18" xfId="0" applyFont="1" applyFill="1" applyBorder="1" applyAlignment="1" applyProtection="1">
      <alignment horizontal="center" vertical="center" wrapText="1"/>
      <protection locked="0"/>
    </xf>
    <xf numFmtId="0" fontId="17" fillId="3" borderId="21" xfId="0" applyFont="1" applyFill="1" applyBorder="1" applyAlignment="1" applyProtection="1">
      <alignment horizontal="center" vertical="center" wrapText="1"/>
      <protection locked="0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0" fontId="18" fillId="3" borderId="42" xfId="0" applyFont="1" applyFill="1" applyBorder="1" applyAlignment="1" applyProtection="1">
      <alignment horizontal="center" vertical="center" wrapText="1"/>
      <protection locked="0"/>
    </xf>
    <xf numFmtId="0" fontId="18" fillId="3" borderId="45" xfId="0" applyFont="1" applyFill="1" applyBorder="1" applyAlignment="1" applyProtection="1">
      <alignment horizontal="center" vertical="center" wrapText="1"/>
      <protection locked="0"/>
    </xf>
    <xf numFmtId="0" fontId="18" fillId="3" borderId="46" xfId="0" applyFont="1" applyFill="1" applyBorder="1" applyAlignment="1" applyProtection="1">
      <alignment horizontal="center" vertical="center" wrapText="1"/>
      <protection locked="0"/>
    </xf>
    <xf numFmtId="0" fontId="18" fillId="3" borderId="18" xfId="0" applyFont="1" applyFill="1" applyBorder="1" applyAlignment="1" applyProtection="1">
      <alignment horizontal="center" vertical="center"/>
      <protection locked="0"/>
    </xf>
    <xf numFmtId="0" fontId="18" fillId="3" borderId="22" xfId="0" applyFont="1" applyFill="1" applyBorder="1" applyAlignment="1" applyProtection="1">
      <alignment horizontal="center" vertical="center"/>
      <protection locked="0"/>
    </xf>
    <xf numFmtId="0" fontId="18" fillId="2" borderId="0" xfId="0" applyFont="1" applyFill="1" applyBorder="1" applyAlignment="1">
      <alignment horizontal="left" vertical="center" wrapText="1"/>
    </xf>
    <xf numFmtId="0" fontId="0" fillId="2" borderId="0" xfId="0" applyFont="1" applyFill="1" applyAlignment="1" applyProtection="1">
      <alignment horizontal="left" vertical="center" wrapText="1"/>
      <protection hidden="1"/>
    </xf>
    <xf numFmtId="1" fontId="18" fillId="3" borderId="17" xfId="0" applyNumberFormat="1" applyFont="1" applyFill="1" applyBorder="1" applyAlignment="1" applyProtection="1">
      <alignment horizontal="center" vertical="center" wrapText="1"/>
      <protection locked="0"/>
    </xf>
    <xf numFmtId="1" fontId="18" fillId="3" borderId="10" xfId="0" applyNumberFormat="1" applyFont="1" applyFill="1" applyBorder="1" applyAlignment="1" applyProtection="1">
      <alignment horizontal="center" vertical="center" wrapText="1"/>
      <protection locked="0"/>
    </xf>
    <xf numFmtId="1" fontId="18" fillId="3" borderId="28" xfId="0" applyNumberFormat="1" applyFont="1" applyFill="1" applyBorder="1" applyAlignment="1" applyProtection="1">
      <alignment horizontal="center" vertical="center" wrapText="1"/>
      <protection locked="0"/>
    </xf>
    <xf numFmtId="0" fontId="18" fillId="2" borderId="0" xfId="0" applyFont="1" applyFill="1" applyBorder="1" applyAlignment="1" applyProtection="1">
      <alignment vertical="center"/>
      <protection locked="0"/>
    </xf>
    <xf numFmtId="0" fontId="38" fillId="2" borderId="0" xfId="0" applyFont="1" applyFill="1" applyBorder="1" applyAlignment="1">
      <alignment vertical="center"/>
    </xf>
    <xf numFmtId="0" fontId="19" fillId="2" borderId="0" xfId="0" applyFont="1" applyFill="1" applyAlignment="1">
      <alignment vertical="top" wrapText="1"/>
    </xf>
    <xf numFmtId="0" fontId="19" fillId="2" borderId="0" xfId="0" applyFont="1" applyFill="1" applyAlignment="1">
      <alignment horizontal="left" vertical="top" wrapText="1"/>
    </xf>
    <xf numFmtId="0" fontId="17" fillId="2" borderId="27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1" fontId="18" fillId="3" borderId="12" xfId="0" applyNumberFormat="1" applyFont="1" applyFill="1" applyBorder="1" applyAlignment="1" applyProtection="1">
      <alignment horizontal="center" vertical="center"/>
      <protection locked="0"/>
    </xf>
    <xf numFmtId="1" fontId="18" fillId="3" borderId="15" xfId="0" applyNumberFormat="1" applyFont="1" applyFill="1" applyBorder="1" applyAlignment="1" applyProtection="1">
      <alignment horizontal="center" vertical="center"/>
      <protection locked="0"/>
    </xf>
    <xf numFmtId="0" fontId="17" fillId="2" borderId="30" xfId="0" applyFont="1" applyFill="1" applyBorder="1" applyAlignment="1">
      <alignment horizontal="center" vertical="center" wrapText="1"/>
    </xf>
    <xf numFmtId="0" fontId="17" fillId="2" borderId="47" xfId="0" applyFont="1" applyFill="1" applyBorder="1" applyAlignment="1">
      <alignment horizontal="center" vertical="center" wrapText="1"/>
    </xf>
    <xf numFmtId="0" fontId="17" fillId="2" borderId="48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18" xfId="0" applyFont="1" applyFill="1" applyBorder="1" applyAlignment="1" applyProtection="1">
      <alignment horizontal="center" vertical="center"/>
      <protection locked="0"/>
    </xf>
    <xf numFmtId="0" fontId="17" fillId="2" borderId="32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28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 applyProtection="1">
      <alignment horizontal="left" vertical="center" wrapText="1"/>
      <protection locked="0"/>
    </xf>
    <xf numFmtId="0" fontId="18" fillId="3" borderId="18" xfId="0" applyFont="1" applyFill="1" applyBorder="1" applyAlignment="1" applyProtection="1">
      <alignment horizontal="left" vertical="center" wrapText="1"/>
      <protection locked="0"/>
    </xf>
    <xf numFmtId="0" fontId="18" fillId="3" borderId="28" xfId="0" applyFont="1" applyFill="1" applyBorder="1" applyAlignment="1" applyProtection="1">
      <alignment horizontal="left" vertical="center" wrapText="1"/>
      <protection locked="0"/>
    </xf>
    <xf numFmtId="0" fontId="18" fillId="3" borderId="22" xfId="0" applyFont="1" applyFill="1" applyBorder="1" applyAlignment="1" applyProtection="1">
      <alignment horizontal="left" vertical="center" wrapText="1"/>
      <protection locked="0"/>
    </xf>
    <xf numFmtId="187" fontId="18" fillId="3" borderId="26" xfId="0" applyNumberFormat="1" applyFont="1" applyFill="1" applyBorder="1" applyAlignment="1" applyProtection="1">
      <alignment horizontal="center" vertical="center"/>
      <protection locked="0"/>
    </xf>
    <xf numFmtId="187" fontId="18" fillId="3" borderId="47" xfId="0" applyNumberFormat="1" applyFont="1" applyFill="1" applyBorder="1" applyAlignment="1" applyProtection="1">
      <alignment horizontal="center" vertical="center"/>
      <protection locked="0"/>
    </xf>
    <xf numFmtId="187" fontId="18" fillId="3" borderId="50" xfId="0" applyNumberFormat="1" applyFont="1" applyFill="1" applyBorder="1" applyAlignment="1" applyProtection="1">
      <alignment horizontal="center" vertical="center"/>
      <protection locked="0"/>
    </xf>
    <xf numFmtId="0" fontId="17" fillId="2" borderId="27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8" fillId="3" borderId="26" xfId="0" applyFont="1" applyFill="1" applyBorder="1" applyAlignment="1" applyProtection="1">
      <alignment horizontal="center" vertical="center"/>
      <protection locked="0"/>
    </xf>
    <xf numFmtId="0" fontId="18" fillId="3" borderId="47" xfId="0" applyFont="1" applyFill="1" applyBorder="1" applyAlignment="1" applyProtection="1">
      <alignment horizontal="center" vertical="center"/>
      <protection locked="0"/>
    </xf>
    <xf numFmtId="0" fontId="18" fillId="3" borderId="50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>
      <alignment vertical="top" wrapText="1"/>
    </xf>
    <xf numFmtId="0" fontId="18" fillId="3" borderId="28" xfId="0" applyFont="1" applyFill="1" applyBorder="1" applyAlignment="1" applyProtection="1">
      <alignment horizontal="center" vertical="center" wrapText="1"/>
      <protection locked="0"/>
    </xf>
    <xf numFmtId="0" fontId="18" fillId="3" borderId="22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/>
      <protection locked="0"/>
    </xf>
    <xf numFmtId="0" fontId="17" fillId="3" borderId="22" xfId="0" applyFont="1" applyFill="1" applyBorder="1" applyAlignment="1" applyProtection="1">
      <alignment horizontal="center" vertical="center"/>
      <protection locked="0"/>
    </xf>
    <xf numFmtId="0" fontId="18" fillId="3" borderId="26" xfId="0" applyFont="1" applyFill="1" applyBorder="1" applyAlignment="1" applyProtection="1">
      <alignment horizontal="center" vertical="center" wrapText="1"/>
      <protection locked="0"/>
    </xf>
    <xf numFmtId="0" fontId="18" fillId="3" borderId="47" xfId="0" applyFont="1" applyFill="1" applyBorder="1" applyAlignment="1" applyProtection="1">
      <alignment horizontal="center" vertical="center" wrapText="1"/>
      <protection locked="0"/>
    </xf>
    <xf numFmtId="0" fontId="18" fillId="3" borderId="50" xfId="0" applyFont="1" applyFill="1" applyBorder="1" applyAlignment="1" applyProtection="1">
      <alignment horizontal="center" vertical="center" wrapText="1"/>
      <protection locked="0"/>
    </xf>
    <xf numFmtId="0" fontId="19" fillId="2" borderId="0" xfId="0" applyFont="1" applyFill="1" applyAlignment="1">
      <alignment horizontal="left" vertical="center" wrapText="1"/>
    </xf>
    <xf numFmtId="0" fontId="35" fillId="2" borderId="0" xfId="0" applyFont="1" applyFill="1" applyBorder="1" applyAlignment="1">
      <alignment horizontal="center" wrapText="1"/>
    </xf>
    <xf numFmtId="0" fontId="35" fillId="2" borderId="7" xfId="0" applyFont="1" applyFill="1" applyBorder="1" applyAlignment="1">
      <alignment horizontal="center" wrapText="1"/>
    </xf>
    <xf numFmtId="0" fontId="24" fillId="2" borderId="0" xfId="0" applyFont="1" applyFill="1" applyBorder="1" applyAlignment="1">
      <alignment horizontal="center"/>
    </xf>
    <xf numFmtId="0" fontId="20" fillId="6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40" fillId="3" borderId="55" xfId="0" applyFont="1" applyFill="1" applyBorder="1" applyAlignment="1" applyProtection="1">
      <alignment horizontal="center" vertical="center" wrapText="1"/>
      <protection locked="0"/>
    </xf>
    <xf numFmtId="0" fontId="40" fillId="3" borderId="56" xfId="0" applyFont="1" applyFill="1" applyBorder="1" applyAlignment="1" applyProtection="1">
      <alignment horizontal="center" vertical="center" wrapText="1"/>
      <protection locked="0"/>
    </xf>
    <xf numFmtId="0" fontId="40" fillId="3" borderId="57" xfId="0" applyFont="1" applyFill="1" applyBorder="1" applyAlignment="1" applyProtection="1">
      <alignment horizontal="center" vertical="center" wrapText="1"/>
      <protection locked="0"/>
    </xf>
    <xf numFmtId="0" fontId="17" fillId="2" borderId="30" xfId="0" applyFont="1" applyFill="1" applyBorder="1" applyAlignment="1">
      <alignment horizontal="center" vertical="center"/>
    </xf>
    <xf numFmtId="0" fontId="17" fillId="2" borderId="48" xfId="0" applyFont="1" applyFill="1" applyBorder="1" applyAlignment="1">
      <alignment horizontal="center" vertical="center"/>
    </xf>
    <xf numFmtId="0" fontId="41" fillId="2" borderId="0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 applyProtection="1">
      <alignment horizontal="center" vertical="center" wrapText="1"/>
      <protection locked="0"/>
    </xf>
    <xf numFmtId="0" fontId="18" fillId="3" borderId="18" xfId="0" applyFont="1" applyFill="1" applyBorder="1" applyAlignment="1" applyProtection="1">
      <alignment horizontal="center" vertical="center" wrapText="1"/>
      <protection locked="0"/>
    </xf>
    <xf numFmtId="0" fontId="18" fillId="3" borderId="10" xfId="0" applyFont="1" applyFill="1" applyBorder="1" applyAlignment="1" applyProtection="1">
      <alignment horizontal="center" vertical="center" wrapText="1"/>
      <protection locked="0"/>
    </xf>
    <xf numFmtId="0" fontId="18" fillId="3" borderId="21" xfId="0" applyFont="1" applyFill="1" applyBorder="1" applyAlignment="1" applyProtection="1">
      <alignment horizontal="center" vertical="center" wrapText="1"/>
      <protection locked="0"/>
    </xf>
    <xf numFmtId="0" fontId="17" fillId="2" borderId="13" xfId="0" applyFont="1" applyFill="1" applyBorder="1" applyAlignment="1">
      <alignment horizontal="left" vertical="center" wrapText="1"/>
    </xf>
    <xf numFmtId="0" fontId="17" fillId="2" borderId="10" xfId="0" applyFont="1" applyFill="1" applyBorder="1" applyAlignment="1">
      <alignment horizontal="left" vertical="center" wrapText="1"/>
    </xf>
    <xf numFmtId="0" fontId="17" fillId="3" borderId="29" xfId="0" applyFont="1" applyFill="1" applyBorder="1" applyAlignment="1" applyProtection="1">
      <alignment horizontal="center" vertical="center"/>
      <protection locked="0"/>
    </xf>
    <xf numFmtId="0" fontId="17" fillId="3" borderId="34" xfId="0" applyFont="1" applyFill="1" applyBorder="1" applyAlignment="1" applyProtection="1">
      <alignment horizontal="center" vertical="center"/>
      <protection locked="0"/>
    </xf>
    <xf numFmtId="0" fontId="17" fillId="2" borderId="47" xfId="0" applyFont="1" applyFill="1" applyBorder="1" applyAlignment="1">
      <alignment horizontal="center" vertical="center"/>
    </xf>
    <xf numFmtId="187" fontId="18" fillId="3" borderId="12" xfId="0" applyNumberFormat="1" applyFont="1" applyFill="1" applyBorder="1" applyAlignment="1" applyProtection="1">
      <alignment horizontal="center" vertical="center"/>
      <protection locked="0"/>
    </xf>
    <xf numFmtId="187" fontId="18" fillId="3" borderId="15" xfId="0" applyNumberFormat="1" applyFont="1" applyFill="1" applyBorder="1" applyAlignment="1" applyProtection="1">
      <alignment horizontal="center" vertical="center"/>
      <protection locked="0"/>
    </xf>
    <xf numFmtId="0" fontId="17" fillId="2" borderId="14" xfId="0" applyFont="1" applyFill="1" applyBorder="1" applyAlignment="1">
      <alignment horizontal="left" vertical="center" wrapText="1"/>
    </xf>
    <xf numFmtId="0" fontId="17" fillId="2" borderId="28" xfId="0" applyFont="1" applyFill="1" applyBorder="1" applyAlignment="1">
      <alignment horizontal="left" vertical="center" wrapText="1"/>
    </xf>
    <xf numFmtId="0" fontId="0" fillId="0" borderId="48" xfId="0" applyFont="1" applyBorder="1" applyAlignment="1">
      <alignment wrapText="1"/>
    </xf>
    <xf numFmtId="0" fontId="17" fillId="2" borderId="32" xfId="0" applyFont="1" applyFill="1" applyBorder="1" applyAlignment="1" applyProtection="1">
      <alignment horizontal="center" vertical="center" wrapText="1"/>
    </xf>
    <xf numFmtId="0" fontId="17" fillId="2" borderId="9" xfId="0" applyFont="1" applyFill="1" applyBorder="1" applyAlignment="1" applyProtection="1">
      <alignment horizontal="center" vertical="center" wrapText="1"/>
    </xf>
    <xf numFmtId="0" fontId="17" fillId="2" borderId="14" xfId="0" applyFont="1" applyFill="1" applyBorder="1" applyAlignment="1" applyProtection="1">
      <alignment horizontal="center" vertical="center" wrapText="1"/>
    </xf>
    <xf numFmtId="0" fontId="17" fillId="2" borderId="28" xfId="0" applyFont="1" applyFill="1" applyBorder="1" applyAlignment="1" applyProtection="1">
      <alignment horizontal="center" vertical="center" wrapText="1"/>
    </xf>
    <xf numFmtId="0" fontId="17" fillId="0" borderId="32" xfId="0" applyFont="1" applyFill="1" applyBorder="1" applyAlignment="1" applyProtection="1">
      <alignment horizontal="center" vertical="center"/>
    </xf>
    <xf numFmtId="0" fontId="17" fillId="0" borderId="9" xfId="0" applyFont="1" applyFill="1" applyBorder="1" applyAlignment="1" applyProtection="1">
      <alignment horizontal="center" vertical="center"/>
    </xf>
    <xf numFmtId="0" fontId="17" fillId="0" borderId="14" xfId="0" applyFont="1" applyFill="1" applyBorder="1" applyAlignment="1" applyProtection="1">
      <alignment horizontal="center" vertical="center"/>
    </xf>
    <xf numFmtId="0" fontId="17" fillId="0" borderId="28" xfId="0" applyFont="1" applyFill="1" applyBorder="1" applyAlignment="1" applyProtection="1">
      <alignment horizontal="center" vertical="center"/>
    </xf>
    <xf numFmtId="0" fontId="18" fillId="3" borderId="26" xfId="0" applyFont="1" applyFill="1" applyBorder="1" applyAlignment="1" applyProtection="1">
      <alignment horizontal="left" vertical="center" wrapText="1"/>
      <protection locked="0"/>
    </xf>
    <xf numFmtId="0" fontId="18" fillId="3" borderId="47" xfId="0" applyFont="1" applyFill="1" applyBorder="1" applyAlignment="1" applyProtection="1">
      <alignment horizontal="left" vertical="center" wrapText="1"/>
      <protection locked="0"/>
    </xf>
    <xf numFmtId="0" fontId="18" fillId="3" borderId="50" xfId="0" applyFont="1" applyFill="1" applyBorder="1" applyAlignment="1" applyProtection="1">
      <alignment horizontal="left" vertical="center" wrapText="1"/>
      <protection locked="0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/>
    </xf>
    <xf numFmtId="0" fontId="21" fillId="3" borderId="30" xfId="0" applyFont="1" applyFill="1" applyBorder="1" applyAlignment="1" applyProtection="1">
      <alignment horizontal="center" vertical="center" wrapText="1"/>
      <protection locked="0"/>
    </xf>
    <xf numFmtId="0" fontId="21" fillId="3" borderId="47" xfId="0" applyFont="1" applyFill="1" applyBorder="1" applyAlignment="1" applyProtection="1">
      <alignment horizontal="center" vertical="center" wrapText="1"/>
      <protection locked="0"/>
    </xf>
    <xf numFmtId="0" fontId="21" fillId="3" borderId="50" xfId="0" applyFont="1" applyFill="1" applyBorder="1" applyAlignment="1" applyProtection="1">
      <alignment horizontal="center" vertical="center" wrapText="1"/>
      <protection locked="0"/>
    </xf>
    <xf numFmtId="0" fontId="17" fillId="2" borderId="51" xfId="0" applyFont="1" applyFill="1" applyBorder="1" applyAlignment="1">
      <alignment horizontal="left" vertical="center" wrapText="1"/>
    </xf>
    <xf numFmtId="0" fontId="17" fillId="2" borderId="52" xfId="0" applyFont="1" applyFill="1" applyBorder="1" applyAlignment="1">
      <alignment horizontal="left" vertical="center" wrapText="1"/>
    </xf>
    <xf numFmtId="0" fontId="17" fillId="2" borderId="33" xfId="0" applyFont="1" applyFill="1" applyBorder="1" applyAlignment="1">
      <alignment horizontal="left" vertical="center" wrapText="1"/>
    </xf>
    <xf numFmtId="0" fontId="18" fillId="3" borderId="23" xfId="0" applyFont="1" applyFill="1" applyBorder="1" applyAlignment="1" applyProtection="1">
      <alignment horizontal="center" vertical="center" wrapText="1"/>
      <protection locked="0"/>
    </xf>
    <xf numFmtId="0" fontId="18" fillId="3" borderId="53" xfId="0" applyFont="1" applyFill="1" applyBorder="1" applyAlignment="1" applyProtection="1">
      <alignment horizontal="center" vertical="center" wrapText="1"/>
      <protection locked="0"/>
    </xf>
    <xf numFmtId="0" fontId="18" fillId="3" borderId="54" xfId="0" applyFont="1" applyFill="1" applyBorder="1" applyAlignment="1" applyProtection="1">
      <alignment horizontal="center" vertical="center" wrapText="1"/>
      <protection locked="0"/>
    </xf>
    <xf numFmtId="0" fontId="17" fillId="2" borderId="32" xfId="0" applyFont="1" applyFill="1" applyBorder="1" applyAlignment="1">
      <alignment horizontal="left" vertical="center" wrapText="1"/>
    </xf>
    <xf numFmtId="0" fontId="17" fillId="2" borderId="9" xfId="0" applyFont="1" applyFill="1" applyBorder="1" applyAlignment="1">
      <alignment horizontal="left" vertical="center" wrapText="1"/>
    </xf>
    <xf numFmtId="0" fontId="19" fillId="3" borderId="9" xfId="0" applyFont="1" applyFill="1" applyBorder="1" applyAlignment="1" applyProtection="1">
      <alignment horizontal="center" vertical="center" wrapText="1"/>
      <protection locked="0"/>
    </xf>
    <xf numFmtId="0" fontId="19" fillId="3" borderId="18" xfId="0" applyFont="1" applyFill="1" applyBorder="1" applyAlignment="1" applyProtection="1">
      <alignment horizontal="center" vertical="center" wrapText="1"/>
      <protection locked="0"/>
    </xf>
    <xf numFmtId="0" fontId="19" fillId="3" borderId="28" xfId="0" applyFont="1" applyFill="1" applyBorder="1" applyAlignment="1" applyProtection="1">
      <alignment horizontal="center" vertical="center" wrapText="1"/>
      <protection locked="0"/>
    </xf>
    <xf numFmtId="0" fontId="19" fillId="3" borderId="22" xfId="0" applyFont="1" applyFill="1" applyBorder="1" applyAlignment="1" applyProtection="1">
      <alignment horizontal="center" vertical="center" wrapText="1"/>
      <protection locked="0"/>
    </xf>
    <xf numFmtId="0" fontId="38" fillId="2" borderId="0" xfId="0" applyFont="1" applyFill="1" applyBorder="1" applyAlignment="1">
      <alignment horizontal="right" vertical="center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49" xfId="0" applyFont="1" applyFill="1" applyBorder="1" applyAlignment="1" applyProtection="1">
      <alignment horizontal="center" vertical="center" wrapText="1"/>
    </xf>
    <xf numFmtId="0" fontId="17" fillId="2" borderId="6" xfId="0" applyFont="1" applyFill="1" applyBorder="1" applyAlignment="1" applyProtection="1">
      <alignment horizontal="center" vertical="center" wrapText="1"/>
    </xf>
    <xf numFmtId="0" fontId="17" fillId="2" borderId="39" xfId="0" applyFont="1" applyFill="1" applyBorder="1" applyAlignment="1" applyProtection="1">
      <alignment horizontal="center" vertical="center" wrapText="1"/>
    </xf>
    <xf numFmtId="0" fontId="24" fillId="2" borderId="0" xfId="0" applyFont="1" applyFill="1" applyBorder="1" applyAlignment="1">
      <alignment horizontal="center" wrapText="1"/>
    </xf>
    <xf numFmtId="0" fontId="28" fillId="2" borderId="4" xfId="0" applyFont="1" applyFill="1" applyBorder="1" applyAlignment="1" applyProtection="1">
      <alignment horizontal="center" vertical="center" wrapText="1"/>
      <protection hidden="1"/>
    </xf>
    <xf numFmtId="0" fontId="17" fillId="3" borderId="23" xfId="0" applyFont="1" applyFill="1" applyBorder="1" applyAlignment="1" applyProtection="1">
      <alignment horizontal="center" vertical="center" wrapText="1"/>
      <protection locked="0"/>
    </xf>
    <xf numFmtId="0" fontId="17" fillId="3" borderId="53" xfId="0" applyFont="1" applyFill="1" applyBorder="1" applyAlignment="1" applyProtection="1">
      <alignment horizontal="center" vertical="center" wrapText="1"/>
      <protection locked="0"/>
    </xf>
    <xf numFmtId="0" fontId="17" fillId="3" borderId="63" xfId="0" applyFont="1" applyFill="1" applyBorder="1" applyAlignment="1" applyProtection="1">
      <alignment horizontal="center" vertical="center" wrapText="1"/>
      <protection locked="0"/>
    </xf>
    <xf numFmtId="0" fontId="17" fillId="3" borderId="24" xfId="0" applyFont="1" applyFill="1" applyBorder="1" applyAlignment="1" applyProtection="1">
      <alignment horizontal="center" vertical="center" wrapText="1"/>
      <protection locked="0"/>
    </xf>
    <xf numFmtId="0" fontId="17" fillId="3" borderId="52" xfId="0" applyFont="1" applyFill="1" applyBorder="1" applyAlignment="1" applyProtection="1">
      <alignment horizontal="center" vertical="center" wrapText="1"/>
      <protection locked="0"/>
    </xf>
    <xf numFmtId="0" fontId="17" fillId="3" borderId="33" xfId="0" applyFont="1" applyFill="1" applyBorder="1" applyAlignment="1" applyProtection="1">
      <alignment horizontal="center" vertical="center" wrapText="1"/>
      <protection locked="0"/>
    </xf>
    <xf numFmtId="0" fontId="17" fillId="4" borderId="9" xfId="0" applyFont="1" applyFill="1" applyBorder="1" applyAlignment="1" applyProtection="1">
      <alignment horizontal="center" vertical="center" wrapText="1"/>
      <protection hidden="1"/>
    </xf>
    <xf numFmtId="0" fontId="17" fillId="4" borderId="28" xfId="0" applyFont="1" applyFill="1" applyBorder="1" applyAlignment="1" applyProtection="1">
      <alignment horizontal="center" vertical="center" wrapText="1"/>
      <protection hidden="1"/>
    </xf>
    <xf numFmtId="0" fontId="18" fillId="0" borderId="14" xfId="0" applyFont="1" applyFill="1" applyBorder="1" applyAlignment="1" applyProtection="1">
      <alignment horizontal="center" vertical="center" wrapText="1"/>
    </xf>
    <xf numFmtId="0" fontId="18" fillId="0" borderId="28" xfId="0" applyFont="1" applyFill="1" applyBorder="1" applyAlignment="1" applyProtection="1">
      <alignment horizontal="center" vertical="center" wrapText="1"/>
    </xf>
    <xf numFmtId="0" fontId="18" fillId="2" borderId="14" xfId="0" applyFont="1" applyFill="1" applyBorder="1" applyAlignment="1" applyProtection="1">
      <alignment horizontal="center" vertical="center" wrapText="1"/>
    </xf>
    <xf numFmtId="0" fontId="18" fillId="2" borderId="28" xfId="0" applyFont="1" applyFill="1" applyBorder="1" applyAlignment="1" applyProtection="1">
      <alignment horizontal="center" vertical="center" wrapText="1"/>
    </xf>
    <xf numFmtId="0" fontId="18" fillId="3" borderId="17" xfId="0" applyFont="1" applyFill="1" applyBorder="1" applyAlignment="1" applyProtection="1">
      <alignment horizontal="center" vertical="center" wrapText="1"/>
      <protection locked="0"/>
    </xf>
    <xf numFmtId="0" fontId="18" fillId="0" borderId="32" xfId="0" applyFont="1" applyFill="1" applyBorder="1" applyAlignment="1" applyProtection="1">
      <alignment horizontal="center" vertical="center" wrapText="1"/>
    </xf>
    <xf numFmtId="0" fontId="18" fillId="0" borderId="9" xfId="0" applyFont="1" applyFill="1" applyBorder="1" applyAlignment="1" applyProtection="1">
      <alignment horizontal="center" vertical="center" wrapText="1"/>
    </xf>
    <xf numFmtId="0" fontId="18" fillId="0" borderId="13" xfId="0" applyFont="1" applyFill="1" applyBorder="1" applyAlignment="1" applyProtection="1">
      <alignment horizontal="center" vertical="center" wrapText="1"/>
    </xf>
    <xf numFmtId="0" fontId="18" fillId="0" borderId="10" xfId="0" applyFont="1" applyFill="1" applyBorder="1" applyAlignment="1" applyProtection="1">
      <alignment horizontal="center" vertical="center" wrapText="1"/>
    </xf>
    <xf numFmtId="9" fontId="18" fillId="2" borderId="12" xfId="3" applyFont="1" applyFill="1" applyBorder="1" applyAlignment="1" applyProtection="1">
      <alignment horizontal="center" vertical="center" wrapText="1"/>
      <protection hidden="1"/>
    </xf>
    <xf numFmtId="9" fontId="18" fillId="2" borderId="15" xfId="3" applyFont="1" applyFill="1" applyBorder="1" applyAlignment="1" applyProtection="1">
      <alignment horizontal="center" vertical="center" wrapText="1"/>
      <protection hidden="1"/>
    </xf>
    <xf numFmtId="0" fontId="18" fillId="0" borderId="24" xfId="0" applyFont="1" applyFill="1" applyBorder="1" applyAlignment="1" applyProtection="1">
      <alignment horizontal="center" vertical="center" wrapText="1"/>
    </xf>
    <xf numFmtId="0" fontId="18" fillId="0" borderId="33" xfId="0" applyFont="1" applyFill="1" applyBorder="1" applyAlignment="1" applyProtection="1">
      <alignment horizontal="center" vertical="center" wrapText="1"/>
    </xf>
    <xf numFmtId="0" fontId="21" fillId="2" borderId="4" xfId="0" applyFont="1" applyFill="1" applyBorder="1" applyAlignment="1" applyProtection="1">
      <alignment horizontal="center" vertical="top" wrapText="1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18" fillId="3" borderId="11" xfId="0" applyFont="1" applyFill="1" applyBorder="1" applyAlignment="1" applyProtection="1">
      <alignment horizontal="center" vertical="center" wrapText="1"/>
      <protection locked="0"/>
    </xf>
    <xf numFmtId="0" fontId="18" fillId="2" borderId="12" xfId="0" applyFont="1" applyFill="1" applyBorder="1" applyAlignment="1" applyProtection="1">
      <alignment horizontal="center" vertical="center" wrapText="1"/>
      <protection hidden="1"/>
    </xf>
    <xf numFmtId="196" fontId="18" fillId="0" borderId="10" xfId="3" applyNumberFormat="1" applyFont="1" applyFill="1" applyBorder="1" applyAlignment="1" applyProtection="1">
      <alignment horizontal="center" vertical="center" wrapText="1"/>
      <protection hidden="1"/>
    </xf>
    <xf numFmtId="0" fontId="33" fillId="2" borderId="0" xfId="0" applyFont="1" applyFill="1" applyBorder="1" applyAlignment="1" applyProtection="1">
      <alignment horizontal="center" vertical="center" wrapText="1"/>
      <protection hidden="1"/>
    </xf>
    <xf numFmtId="0" fontId="17" fillId="2" borderId="0" xfId="0" applyFont="1" applyFill="1" applyBorder="1" applyAlignment="1" applyProtection="1">
      <alignment horizontal="left" vertical="center" wrapText="1"/>
      <protection hidden="1"/>
    </xf>
    <xf numFmtId="0" fontId="18" fillId="3" borderId="24" xfId="0" applyFont="1" applyFill="1" applyBorder="1" applyAlignment="1" applyProtection="1">
      <alignment horizontal="center" vertical="center" wrapText="1"/>
      <protection locked="0"/>
    </xf>
    <xf numFmtId="0" fontId="18" fillId="3" borderId="33" xfId="0" applyFont="1" applyFill="1" applyBorder="1" applyAlignment="1" applyProtection="1">
      <alignment horizontal="center" vertical="center" wrapText="1"/>
      <protection locked="0"/>
    </xf>
    <xf numFmtId="0" fontId="18" fillId="0" borderId="24" xfId="0" applyFont="1" applyFill="1" applyBorder="1" applyAlignment="1" applyProtection="1">
      <alignment horizontal="center" vertical="center" wrapText="1"/>
      <protection hidden="1"/>
    </xf>
    <xf numFmtId="0" fontId="18" fillId="0" borderId="33" xfId="0" applyFont="1" applyFill="1" applyBorder="1" applyAlignment="1" applyProtection="1">
      <alignment horizontal="center" vertical="center" wrapText="1"/>
      <protection hidden="1"/>
    </xf>
    <xf numFmtId="0" fontId="34" fillId="2" borderId="0" xfId="0" applyFont="1" applyFill="1" applyBorder="1" applyAlignment="1" applyProtection="1">
      <alignment horizontal="left" vertical="center" wrapText="1"/>
      <protection hidden="1"/>
    </xf>
    <xf numFmtId="0" fontId="18" fillId="2" borderId="64" xfId="0" applyFont="1" applyFill="1" applyBorder="1" applyAlignment="1" applyProtection="1">
      <alignment horizontal="center" vertical="center" wrapText="1"/>
      <protection hidden="1"/>
    </xf>
    <xf numFmtId="0" fontId="18" fillId="2" borderId="34" xfId="0" applyFont="1" applyFill="1" applyBorder="1" applyAlignment="1" applyProtection="1">
      <alignment horizontal="center" vertical="center" wrapText="1"/>
      <protection hidden="1"/>
    </xf>
    <xf numFmtId="0" fontId="17" fillId="2" borderId="3" xfId="0" applyFont="1" applyFill="1" applyBorder="1" applyAlignment="1" applyProtection="1">
      <alignment horizontal="center" vertical="center" wrapText="1"/>
      <protection hidden="1"/>
    </xf>
    <xf numFmtId="0" fontId="17" fillId="2" borderId="49" xfId="0" applyFont="1" applyFill="1" applyBorder="1" applyAlignment="1" applyProtection="1">
      <alignment horizontal="center" vertical="center" wrapText="1"/>
      <protection hidden="1"/>
    </xf>
    <xf numFmtId="0" fontId="17" fillId="2" borderId="1" xfId="0" applyFont="1" applyFill="1" applyBorder="1" applyAlignment="1" applyProtection="1">
      <alignment horizontal="center" vertical="center" wrapText="1"/>
      <protection hidden="1"/>
    </xf>
    <xf numFmtId="0" fontId="17" fillId="2" borderId="68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39" xfId="0" applyFont="1" applyFill="1" applyBorder="1" applyAlignment="1" applyProtection="1">
      <alignment horizontal="center" vertical="center" wrapText="1"/>
      <protection hidden="1"/>
    </xf>
    <xf numFmtId="0" fontId="32" fillId="2" borderId="0" xfId="0" applyFont="1" applyFill="1" applyBorder="1" applyAlignment="1" applyProtection="1">
      <alignment horizontal="center" vertical="center" wrapText="1"/>
      <protection hidden="1"/>
    </xf>
    <xf numFmtId="0" fontId="42" fillId="2" borderId="0" xfId="0" applyFont="1" applyFill="1" applyBorder="1" applyAlignment="1" applyProtection="1">
      <alignment horizontal="center" vertical="center" wrapText="1"/>
      <protection hidden="1"/>
    </xf>
    <xf numFmtId="0" fontId="24" fillId="2" borderId="4" xfId="0" applyFont="1" applyFill="1" applyBorder="1" applyAlignment="1" applyProtection="1">
      <alignment horizontal="center" vertical="center" wrapText="1"/>
      <protection hidden="1"/>
    </xf>
    <xf numFmtId="9" fontId="18" fillId="2" borderId="10" xfId="3" applyFont="1" applyFill="1" applyBorder="1" applyAlignment="1" applyProtection="1">
      <alignment horizontal="center" vertical="center" wrapText="1"/>
      <protection hidden="1"/>
    </xf>
    <xf numFmtId="9" fontId="18" fillId="2" borderId="21" xfId="3" applyFont="1" applyFill="1" applyBorder="1" applyAlignment="1" applyProtection="1">
      <alignment horizontal="center" vertical="center" wrapText="1"/>
      <protection hidden="1"/>
    </xf>
    <xf numFmtId="0" fontId="31" fillId="2" borderId="0" xfId="0" applyFont="1" applyFill="1" applyBorder="1" applyAlignment="1" applyProtection="1">
      <alignment horizontal="center" vertical="center" wrapText="1"/>
      <protection hidden="1"/>
    </xf>
    <xf numFmtId="0" fontId="17" fillId="4" borderId="67" xfId="0" applyFont="1" applyFill="1" applyBorder="1" applyAlignment="1" applyProtection="1">
      <alignment horizontal="center" vertical="center" wrapText="1"/>
      <protection hidden="1"/>
    </xf>
    <xf numFmtId="0" fontId="17" fillId="4" borderId="53" xfId="0" applyFont="1" applyFill="1" applyBorder="1" applyAlignment="1" applyProtection="1">
      <alignment horizontal="center" vertical="center" wrapText="1"/>
      <protection hidden="1"/>
    </xf>
    <xf numFmtId="0" fontId="17" fillId="4" borderId="54" xfId="0" applyFont="1" applyFill="1" applyBorder="1" applyAlignment="1" applyProtection="1">
      <alignment horizontal="center" vertical="center" wrapText="1"/>
      <protection hidden="1"/>
    </xf>
    <xf numFmtId="9" fontId="18" fillId="2" borderId="11" xfId="3" applyFont="1" applyFill="1" applyBorder="1" applyAlignment="1" applyProtection="1">
      <alignment horizontal="center" vertical="center" wrapText="1"/>
      <protection hidden="1"/>
    </xf>
    <xf numFmtId="9" fontId="18" fillId="2" borderId="65" xfId="3" applyFont="1" applyFill="1" applyBorder="1" applyAlignment="1" applyProtection="1">
      <alignment horizontal="center" vertical="center" wrapText="1"/>
      <protection hidden="1"/>
    </xf>
    <xf numFmtId="0" fontId="18" fillId="3" borderId="55" xfId="0" applyFont="1" applyFill="1" applyBorder="1" applyAlignment="1" applyProtection="1">
      <alignment horizontal="center" vertical="center" wrapText="1"/>
      <protection locked="0"/>
    </xf>
    <xf numFmtId="0" fontId="18" fillId="3" borderId="57" xfId="0" applyFont="1" applyFill="1" applyBorder="1" applyAlignment="1" applyProtection="1">
      <alignment horizontal="center" vertical="center" wrapText="1"/>
      <protection locked="0"/>
    </xf>
    <xf numFmtId="0" fontId="17" fillId="4" borderId="14" xfId="0" applyFont="1" applyFill="1" applyBorder="1" applyAlignment="1" applyProtection="1">
      <alignment horizontal="center" vertical="center" wrapText="1"/>
      <protection hidden="1"/>
    </xf>
    <xf numFmtId="0" fontId="17" fillId="4" borderId="64" xfId="0" applyFont="1" applyFill="1" applyBorder="1" applyAlignment="1" applyProtection="1">
      <alignment horizontal="center" vertical="center" wrapText="1"/>
      <protection hidden="1"/>
    </xf>
    <xf numFmtId="187" fontId="18" fillId="3" borderId="29" xfId="0" applyNumberFormat="1" applyFont="1" applyFill="1" applyBorder="1" applyAlignment="1" applyProtection="1">
      <alignment horizontal="center" vertical="center" wrapText="1"/>
      <protection locked="0"/>
    </xf>
    <xf numFmtId="187" fontId="18" fillId="3" borderId="60" xfId="0" applyNumberFormat="1" applyFont="1" applyFill="1" applyBorder="1" applyAlignment="1" applyProtection="1">
      <alignment horizontal="center" vertical="center" wrapText="1"/>
      <protection locked="0"/>
    </xf>
    <xf numFmtId="0" fontId="17" fillId="4" borderId="69" xfId="0" applyFont="1" applyFill="1" applyBorder="1" applyAlignment="1" applyProtection="1">
      <alignment horizontal="center" vertical="center" wrapText="1"/>
      <protection hidden="1"/>
    </xf>
    <xf numFmtId="0" fontId="46" fillId="2" borderId="0" xfId="0" applyFont="1" applyFill="1" applyBorder="1" applyAlignment="1" applyProtection="1">
      <alignment horizontal="center" vertical="center" wrapText="1"/>
      <protection hidden="1"/>
    </xf>
    <xf numFmtId="2" fontId="18" fillId="0" borderId="24" xfId="0" applyNumberFormat="1" applyFont="1" applyFill="1" applyBorder="1" applyAlignment="1" applyProtection="1">
      <alignment horizontal="center" vertical="center" wrapText="1"/>
      <protection hidden="1"/>
    </xf>
    <xf numFmtId="2" fontId="18" fillId="0" borderId="52" xfId="0" applyNumberFormat="1" applyFont="1" applyFill="1" applyBorder="1" applyAlignment="1" applyProtection="1">
      <alignment horizontal="center" vertical="center" wrapText="1"/>
      <protection hidden="1"/>
    </xf>
    <xf numFmtId="2" fontId="18" fillId="0" borderId="58" xfId="0" applyNumberFormat="1" applyFont="1" applyFill="1" applyBorder="1" applyAlignment="1" applyProtection="1">
      <alignment horizontal="center" vertical="center" wrapText="1"/>
      <protection hidden="1"/>
    </xf>
    <xf numFmtId="2" fontId="18" fillId="0" borderId="33" xfId="0" applyNumberFormat="1" applyFont="1" applyFill="1" applyBorder="1" applyAlignment="1" applyProtection="1">
      <alignment horizontal="center" vertical="center" wrapText="1"/>
      <protection hidden="1"/>
    </xf>
    <xf numFmtId="2" fontId="18" fillId="0" borderId="10" xfId="3" applyNumberFormat="1" applyFont="1" applyFill="1" applyBorder="1" applyAlignment="1" applyProtection="1">
      <alignment horizontal="center" vertical="center" wrapText="1"/>
      <protection hidden="1"/>
    </xf>
    <xf numFmtId="0" fontId="17" fillId="4" borderId="26" xfId="0" applyFont="1" applyFill="1" applyBorder="1" applyAlignment="1" applyProtection="1">
      <alignment horizontal="center" vertical="center" wrapText="1"/>
      <protection hidden="1"/>
    </xf>
    <xf numFmtId="0" fontId="17" fillId="4" borderId="47" xfId="0" applyFont="1" applyFill="1" applyBorder="1" applyAlignment="1" applyProtection="1">
      <alignment horizontal="center" vertical="center" wrapText="1"/>
      <protection hidden="1"/>
    </xf>
    <xf numFmtId="0" fontId="17" fillId="4" borderId="48" xfId="0" applyFont="1" applyFill="1" applyBorder="1" applyAlignment="1" applyProtection="1">
      <alignment horizontal="center" vertical="center" wrapText="1"/>
      <protection hidden="1"/>
    </xf>
    <xf numFmtId="196" fontId="18" fillId="0" borderId="28" xfId="3" applyNumberFormat="1" applyFont="1" applyFill="1" applyBorder="1" applyAlignment="1" applyProtection="1">
      <alignment horizontal="center" vertical="center" wrapText="1"/>
      <protection hidden="1"/>
    </xf>
    <xf numFmtId="0" fontId="18" fillId="2" borderId="0" xfId="0" applyFont="1" applyFill="1" applyBorder="1" applyAlignment="1" applyProtection="1">
      <alignment horizontal="left" vertical="center" wrapText="1"/>
      <protection hidden="1"/>
    </xf>
    <xf numFmtId="0" fontId="24" fillId="2" borderId="0" xfId="0" applyFont="1" applyFill="1" applyBorder="1" applyAlignment="1" applyProtection="1">
      <alignment horizontal="left" vertical="center" wrapText="1"/>
      <protection hidden="1"/>
    </xf>
    <xf numFmtId="0" fontId="17" fillId="4" borderId="25" xfId="0" applyFont="1" applyFill="1" applyBorder="1" applyAlignment="1" applyProtection="1">
      <alignment horizontal="center" vertical="center" wrapText="1"/>
      <protection hidden="1"/>
    </xf>
    <xf numFmtId="0" fontId="17" fillId="4" borderId="66" xfId="0" applyFont="1" applyFill="1" applyBorder="1" applyAlignment="1" applyProtection="1">
      <alignment horizontal="center" vertical="center" wrapText="1"/>
      <protection hidden="1"/>
    </xf>
    <xf numFmtId="0" fontId="17" fillId="4" borderId="40" xfId="0" applyFont="1" applyFill="1" applyBorder="1" applyAlignment="1" applyProtection="1">
      <alignment horizontal="center" vertical="center" wrapText="1"/>
      <protection hidden="1"/>
    </xf>
    <xf numFmtId="0" fontId="17" fillId="4" borderId="39" xfId="0" applyFont="1" applyFill="1" applyBorder="1" applyAlignment="1" applyProtection="1">
      <alignment horizontal="center" vertical="center" wrapText="1"/>
      <protection hidden="1"/>
    </xf>
    <xf numFmtId="0" fontId="17" fillId="4" borderId="61" xfId="0" applyFont="1" applyFill="1" applyBorder="1" applyAlignment="1" applyProtection="1">
      <alignment horizontal="center" vertical="center" wrapText="1"/>
      <protection hidden="1"/>
    </xf>
    <xf numFmtId="0" fontId="17" fillId="4" borderId="49" xfId="0" applyFont="1" applyFill="1" applyBorder="1" applyAlignment="1" applyProtection="1">
      <alignment horizontal="center" vertical="center" wrapText="1"/>
      <protection hidden="1"/>
    </xf>
    <xf numFmtId="0" fontId="17" fillId="4" borderId="62" xfId="0" applyFont="1" applyFill="1" applyBorder="1" applyAlignment="1" applyProtection="1">
      <alignment horizontal="center" vertical="center" wrapText="1"/>
      <protection hidden="1"/>
    </xf>
    <xf numFmtId="0" fontId="17" fillId="4" borderId="68" xfId="0" applyFont="1" applyFill="1" applyBorder="1" applyAlignment="1" applyProtection="1">
      <alignment horizontal="center" vertical="center" wrapText="1"/>
      <protection hidden="1"/>
    </xf>
    <xf numFmtId="0" fontId="17" fillId="4" borderId="10" xfId="0" applyFont="1" applyFill="1" applyBorder="1" applyAlignment="1" applyProtection="1">
      <alignment horizontal="center" vertical="center" wrapText="1"/>
      <protection hidden="1"/>
    </xf>
    <xf numFmtId="0" fontId="18" fillId="0" borderId="29" xfId="0" applyFont="1" applyFill="1" applyBorder="1" applyAlignment="1" applyProtection="1">
      <alignment horizontal="center" vertical="center" wrapText="1"/>
    </xf>
    <xf numFmtId="0" fontId="18" fillId="0" borderId="34" xfId="0" applyFont="1" applyFill="1" applyBorder="1" applyAlignment="1" applyProtection="1">
      <alignment horizontal="center" vertical="center" wrapText="1"/>
    </xf>
    <xf numFmtId="0" fontId="45" fillId="0" borderId="32" xfId="0" applyFont="1" applyFill="1" applyBorder="1" applyAlignment="1" applyProtection="1">
      <alignment horizontal="left" vertical="center" wrapText="1"/>
      <protection hidden="1"/>
    </xf>
    <xf numFmtId="0" fontId="45" fillId="0" borderId="9" xfId="0" applyFont="1" applyFill="1" applyBorder="1" applyAlignment="1" applyProtection="1">
      <alignment horizontal="left" vertical="center" wrapText="1"/>
      <protection hidden="1"/>
    </xf>
    <xf numFmtId="0" fontId="45" fillId="0" borderId="18" xfId="0" applyFont="1" applyFill="1" applyBorder="1" applyAlignment="1" applyProtection="1">
      <alignment horizontal="left" vertical="center" wrapText="1"/>
      <protection hidden="1"/>
    </xf>
    <xf numFmtId="0" fontId="17" fillId="4" borderId="50" xfId="0" applyFont="1" applyFill="1" applyBorder="1" applyAlignment="1" applyProtection="1">
      <alignment horizontal="center" vertical="center" wrapText="1"/>
      <protection hidden="1"/>
    </xf>
    <xf numFmtId="0" fontId="34" fillId="4" borderId="67" xfId="0" applyFont="1" applyFill="1" applyBorder="1" applyAlignment="1" applyProtection="1">
      <alignment horizontal="center" vertical="center" wrapText="1"/>
      <protection hidden="1"/>
    </xf>
    <xf numFmtId="0" fontId="34" fillId="4" borderId="53" xfId="0" applyFont="1" applyFill="1" applyBorder="1" applyAlignment="1" applyProtection="1">
      <alignment horizontal="center" vertical="center" wrapText="1"/>
      <protection hidden="1"/>
    </xf>
    <xf numFmtId="0" fontId="34" fillId="4" borderId="63" xfId="0" applyFont="1" applyFill="1" applyBorder="1" applyAlignment="1" applyProtection="1">
      <alignment horizontal="center" vertical="center" wrapText="1"/>
      <protection hidden="1"/>
    </xf>
    <xf numFmtId="0" fontId="34" fillId="4" borderId="51" xfId="0" applyFont="1" applyFill="1" applyBorder="1" applyAlignment="1" applyProtection="1">
      <alignment horizontal="center" vertical="center" wrapText="1"/>
      <protection hidden="1"/>
    </xf>
    <xf numFmtId="0" fontId="34" fillId="4" borderId="52" xfId="0" applyFont="1" applyFill="1" applyBorder="1" applyAlignment="1" applyProtection="1">
      <alignment horizontal="center" vertical="center" wrapText="1"/>
      <protection hidden="1"/>
    </xf>
    <xf numFmtId="0" fontId="34" fillId="4" borderId="33" xfId="0" applyFont="1" applyFill="1" applyBorder="1" applyAlignment="1" applyProtection="1">
      <alignment horizontal="center" vertical="center" wrapText="1"/>
      <protection hidden="1"/>
    </xf>
    <xf numFmtId="0" fontId="19" fillId="2" borderId="0" xfId="0" applyFont="1" applyFill="1" applyAlignment="1" applyProtection="1">
      <alignment horizontal="left" vertical="center" wrapText="1"/>
      <protection hidden="1"/>
    </xf>
    <xf numFmtId="0" fontId="18" fillId="2" borderId="13" xfId="0" applyFont="1" applyFill="1" applyBorder="1" applyAlignment="1" applyProtection="1">
      <alignment horizontal="center" vertical="center" wrapText="1"/>
      <protection hidden="1"/>
    </xf>
    <xf numFmtId="0" fontId="18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1" fillId="4" borderId="30" xfId="0" applyFont="1" applyFill="1" applyBorder="1" applyAlignment="1" applyProtection="1">
      <alignment horizontal="center" vertical="center" wrapText="1"/>
      <protection hidden="1"/>
    </xf>
    <xf numFmtId="0" fontId="21" fillId="4" borderId="47" xfId="0" applyFont="1" applyFill="1" applyBorder="1" applyAlignment="1" applyProtection="1">
      <alignment horizontal="center" vertical="center" wrapText="1"/>
      <protection hidden="1"/>
    </xf>
    <xf numFmtId="0" fontId="21" fillId="4" borderId="50" xfId="0" applyFont="1" applyFill="1" applyBorder="1" applyAlignment="1" applyProtection="1">
      <alignment horizontal="center" vertical="center" wrapText="1"/>
      <protection hidden="1"/>
    </xf>
    <xf numFmtId="0" fontId="18" fillId="2" borderId="0" xfId="0" applyFont="1" applyFill="1" applyAlignment="1" applyProtection="1">
      <alignment horizontal="left" vertical="center" wrapText="1"/>
      <protection hidden="1"/>
    </xf>
    <xf numFmtId="0" fontId="17" fillId="4" borderId="11" xfId="0" applyFont="1" applyFill="1" applyBorder="1" applyAlignment="1" applyProtection="1">
      <alignment horizontal="center" vertical="center" wrapText="1"/>
      <protection hidden="1"/>
    </xf>
    <xf numFmtId="0" fontId="17" fillId="4" borderId="65" xfId="0" applyFont="1" applyFill="1" applyBorder="1" applyAlignment="1" applyProtection="1">
      <alignment horizontal="center" vertical="center" wrapText="1"/>
      <protection hidden="1"/>
    </xf>
    <xf numFmtId="9" fontId="18" fillId="2" borderId="9" xfId="3" applyFont="1" applyFill="1" applyBorder="1" applyAlignment="1" applyProtection="1">
      <alignment horizontal="center" vertical="center" wrapText="1"/>
      <protection hidden="1"/>
    </xf>
    <xf numFmtId="9" fontId="18" fillId="2" borderId="18" xfId="3" applyFont="1" applyFill="1" applyBorder="1" applyAlignment="1" applyProtection="1">
      <alignment horizontal="center" vertical="center" wrapText="1"/>
      <protection hidden="1"/>
    </xf>
    <xf numFmtId="0" fontId="17" fillId="2" borderId="14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8" fillId="3" borderId="12" xfId="0" applyFont="1" applyFill="1" applyBorder="1" applyAlignment="1" applyProtection="1">
      <alignment horizontal="center" vertical="center" wrapText="1"/>
      <protection locked="0"/>
    </xf>
    <xf numFmtId="0" fontId="18" fillId="3" borderId="15" xfId="0" applyFont="1" applyFill="1" applyBorder="1" applyAlignment="1" applyProtection="1">
      <alignment horizontal="center" vertical="center" wrapText="1"/>
      <protection locked="0"/>
    </xf>
    <xf numFmtId="0" fontId="21" fillId="2" borderId="0" xfId="0" applyFont="1" applyFill="1" applyBorder="1" applyAlignment="1" applyProtection="1">
      <alignment horizontal="center" vertical="center" wrapText="1"/>
      <protection hidden="1"/>
    </xf>
    <xf numFmtId="0" fontId="17" fillId="4" borderId="23" xfId="0" applyFont="1" applyFill="1" applyBorder="1" applyAlignment="1" applyProtection="1">
      <alignment horizontal="center" vertical="center" wrapText="1"/>
      <protection hidden="1"/>
    </xf>
    <xf numFmtId="0" fontId="18" fillId="2" borderId="9" xfId="0" applyNumberFormat="1" applyFont="1" applyFill="1" applyBorder="1" applyAlignment="1" applyProtection="1">
      <alignment horizontal="center" vertical="center" wrapText="1"/>
      <protection hidden="1"/>
    </xf>
    <xf numFmtId="0" fontId="18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17" fillId="4" borderId="32" xfId="0" applyFont="1" applyFill="1" applyBorder="1" applyAlignment="1" applyProtection="1">
      <alignment horizontal="center" vertical="center" wrapText="1"/>
      <protection hidden="1"/>
    </xf>
    <xf numFmtId="187" fontId="18" fillId="3" borderId="9" xfId="0" applyNumberFormat="1" applyFont="1" applyFill="1" applyBorder="1" applyAlignment="1" applyProtection="1">
      <alignment horizontal="center" vertical="center" wrapText="1"/>
      <protection locked="0"/>
    </xf>
    <xf numFmtId="187" fontId="18" fillId="3" borderId="18" xfId="0" applyNumberFormat="1" applyFont="1" applyFill="1" applyBorder="1" applyAlignment="1" applyProtection="1">
      <alignment horizontal="center" vertical="center" wrapText="1"/>
      <protection locked="0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4" borderId="18" xfId="0" applyFont="1" applyFill="1" applyBorder="1" applyAlignment="1" applyProtection="1">
      <alignment horizontal="center" vertical="center" wrapText="1"/>
      <protection hidden="1"/>
    </xf>
    <xf numFmtId="0" fontId="17" fillId="4" borderId="22" xfId="0" applyFont="1" applyFill="1" applyBorder="1" applyAlignment="1" applyProtection="1">
      <alignment horizontal="center" vertical="center" wrapText="1"/>
      <protection hidden="1"/>
    </xf>
    <xf numFmtId="0" fontId="18" fillId="0" borderId="29" xfId="0" applyFont="1" applyFill="1" applyBorder="1" applyAlignment="1" applyProtection="1">
      <alignment horizontal="center" vertical="center" wrapText="1"/>
      <protection hidden="1"/>
    </xf>
    <xf numFmtId="0" fontId="18" fillId="0" borderId="34" xfId="0" applyFont="1" applyFill="1" applyBorder="1" applyAlignment="1" applyProtection="1">
      <alignment horizontal="center" vertical="center" wrapText="1"/>
      <protection hidden="1"/>
    </xf>
    <xf numFmtId="0" fontId="19" fillId="2" borderId="0" xfId="0" applyFont="1" applyFill="1" applyAlignment="1" applyProtection="1">
      <alignment vertical="top" wrapText="1"/>
      <protection hidden="1"/>
    </xf>
    <xf numFmtId="0" fontId="19" fillId="2" borderId="0" xfId="0" applyFont="1" applyFill="1" applyAlignment="1" applyProtection="1">
      <alignment horizontal="center" vertical="center" wrapText="1"/>
      <protection hidden="1"/>
    </xf>
    <xf numFmtId="2" fontId="18" fillId="0" borderId="23" xfId="0" applyNumberFormat="1" applyFont="1" applyFill="1" applyBorder="1" applyAlignment="1" applyProtection="1">
      <alignment horizontal="center" vertical="center" wrapText="1"/>
      <protection hidden="1"/>
    </xf>
    <xf numFmtId="2" fontId="18" fillId="0" borderId="53" xfId="0" applyNumberFormat="1" applyFont="1" applyFill="1" applyBorder="1" applyAlignment="1" applyProtection="1">
      <alignment horizontal="center" vertical="center" wrapText="1"/>
      <protection hidden="1"/>
    </xf>
    <xf numFmtId="2" fontId="18" fillId="0" borderId="54" xfId="0" applyNumberFormat="1" applyFont="1" applyFill="1" applyBorder="1" applyAlignment="1" applyProtection="1">
      <alignment horizontal="center" vertical="center" wrapText="1"/>
      <protection hidden="1"/>
    </xf>
    <xf numFmtId="0" fontId="34" fillId="4" borderId="64" xfId="0" applyFont="1" applyFill="1" applyBorder="1" applyAlignment="1" applyProtection="1">
      <alignment horizontal="center" vertical="center" wrapText="1"/>
      <protection hidden="1"/>
    </xf>
    <xf numFmtId="0" fontId="34" fillId="4" borderId="59" xfId="0" applyFont="1" applyFill="1" applyBorder="1" applyAlignment="1" applyProtection="1">
      <alignment horizontal="center" vertical="center" wrapText="1"/>
      <protection hidden="1"/>
    </xf>
    <xf numFmtId="0" fontId="34" fillId="4" borderId="34" xfId="0" applyFont="1" applyFill="1" applyBorder="1" applyAlignment="1" applyProtection="1">
      <alignment horizontal="center" vertical="center" wrapText="1"/>
      <protection hidden="1"/>
    </xf>
    <xf numFmtId="0" fontId="17" fillId="3" borderId="10" xfId="0" applyFont="1" applyFill="1" applyBorder="1" applyAlignment="1" applyProtection="1">
      <alignment horizontal="center" vertical="center" wrapText="1"/>
      <protection locked="0"/>
    </xf>
    <xf numFmtId="0" fontId="18" fillId="3" borderId="36" xfId="0" applyFont="1" applyFill="1" applyBorder="1" applyAlignment="1" applyProtection="1">
      <alignment horizontal="center" vertical="center" wrapText="1"/>
      <protection locked="0"/>
    </xf>
    <xf numFmtId="0" fontId="17" fillId="4" borderId="4" xfId="0" applyFont="1" applyFill="1" applyBorder="1" applyAlignment="1" applyProtection="1">
      <alignment horizontal="center" vertical="center" wrapText="1"/>
      <protection hidden="1"/>
    </xf>
    <xf numFmtId="0" fontId="17" fillId="4" borderId="7" xfId="0" applyFont="1" applyFill="1" applyBorder="1" applyAlignment="1" applyProtection="1">
      <alignment horizontal="center" vertical="center" wrapText="1"/>
      <protection hidden="1"/>
    </xf>
    <xf numFmtId="0" fontId="17" fillId="3" borderId="9" xfId="0" applyFont="1" applyFill="1" applyBorder="1" applyAlignment="1" applyProtection="1">
      <alignment horizontal="center" vertical="center" wrapText="1"/>
      <protection locked="0"/>
    </xf>
    <xf numFmtId="0" fontId="17" fillId="2" borderId="32" xfId="0" applyFont="1" applyFill="1" applyBorder="1" applyAlignment="1" applyProtection="1">
      <alignment horizontal="left" vertical="center" wrapText="1"/>
      <protection hidden="1"/>
    </xf>
    <xf numFmtId="0" fontId="17" fillId="2" borderId="9" xfId="0" applyFont="1" applyFill="1" applyBorder="1" applyAlignment="1" applyProtection="1">
      <alignment horizontal="left" vertical="center" wrapText="1"/>
      <protection hidden="1"/>
    </xf>
    <xf numFmtId="0" fontId="17" fillId="2" borderId="23" xfId="0" applyFont="1" applyFill="1" applyBorder="1" applyAlignment="1" applyProtection="1">
      <alignment horizontal="left" vertical="center" wrapText="1"/>
      <protection hidden="1"/>
    </xf>
    <xf numFmtId="0" fontId="18" fillId="3" borderId="63" xfId="0" applyFont="1" applyFill="1" applyBorder="1" applyAlignment="1" applyProtection="1">
      <alignment horizontal="center" vertical="center" wrapText="1"/>
      <protection locked="0"/>
    </xf>
    <xf numFmtId="196" fontId="18" fillId="0" borderId="17" xfId="3" applyNumberFormat="1" applyFont="1" applyFill="1" applyBorder="1" applyAlignment="1" applyProtection="1">
      <alignment horizontal="center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2" fontId="18" fillId="0" borderId="63" xfId="0" applyNumberFormat="1" applyFont="1" applyFill="1" applyBorder="1" applyAlignment="1" applyProtection="1">
      <alignment horizontal="center" vertical="center" wrapText="1"/>
      <protection hidden="1"/>
    </xf>
    <xf numFmtId="0" fontId="18" fillId="2" borderId="32" xfId="0" applyFont="1" applyFill="1" applyBorder="1" applyAlignment="1" applyProtection="1">
      <alignment horizontal="center" vertical="center" wrapText="1"/>
    </xf>
    <xf numFmtId="0" fontId="18" fillId="2" borderId="9" xfId="0" applyFont="1" applyFill="1" applyBorder="1" applyAlignment="1" applyProtection="1">
      <alignment horizontal="center" vertical="center" wrapText="1"/>
    </xf>
    <xf numFmtId="0" fontId="43" fillId="3" borderId="10" xfId="0" applyFont="1" applyFill="1" applyBorder="1" applyAlignment="1" applyProtection="1">
      <alignment horizontal="center" vertical="center" wrapText="1"/>
      <protection locked="0"/>
    </xf>
    <xf numFmtId="0" fontId="43" fillId="3" borderId="21" xfId="0" applyFont="1" applyFill="1" applyBorder="1" applyAlignment="1" applyProtection="1">
      <alignment horizontal="center" vertical="center" wrapText="1"/>
      <protection locked="0"/>
    </xf>
    <xf numFmtId="0" fontId="18" fillId="3" borderId="29" xfId="0" applyFont="1" applyFill="1" applyBorder="1" applyAlignment="1" applyProtection="1">
      <alignment horizontal="center" vertical="center" wrapText="1"/>
      <protection locked="0"/>
    </xf>
    <xf numFmtId="0" fontId="18" fillId="3" borderId="34" xfId="0" applyFont="1" applyFill="1" applyBorder="1" applyAlignment="1" applyProtection="1">
      <alignment horizontal="center" vertical="center" wrapText="1"/>
      <protection locked="0"/>
    </xf>
    <xf numFmtId="0" fontId="17" fillId="2" borderId="64" xfId="0" applyFont="1" applyFill="1" applyBorder="1" applyAlignment="1" applyProtection="1">
      <alignment horizontal="left" vertical="center" wrapText="1"/>
      <protection hidden="1"/>
    </xf>
    <xf numFmtId="0" fontId="17" fillId="2" borderId="59" xfId="0" applyFont="1" applyFill="1" applyBorder="1" applyAlignment="1" applyProtection="1">
      <alignment horizontal="left" vertical="center" wrapText="1"/>
      <protection hidden="1"/>
    </xf>
    <xf numFmtId="2" fontId="18" fillId="0" borderId="29" xfId="0" applyNumberFormat="1" applyFont="1" applyFill="1" applyBorder="1" applyAlignment="1" applyProtection="1">
      <alignment horizontal="center" vertical="center" wrapText="1"/>
      <protection hidden="1"/>
    </xf>
    <xf numFmtId="2" fontId="18" fillId="0" borderId="59" xfId="0" applyNumberFormat="1" applyFont="1" applyFill="1" applyBorder="1" applyAlignment="1" applyProtection="1">
      <alignment horizontal="center" vertical="center" wrapText="1"/>
      <protection hidden="1"/>
    </xf>
    <xf numFmtId="2" fontId="18" fillId="0" borderId="34" xfId="0" applyNumberFormat="1" applyFont="1" applyFill="1" applyBorder="1" applyAlignment="1" applyProtection="1">
      <alignment horizontal="center" vertical="center" wrapText="1"/>
      <protection hidden="1"/>
    </xf>
    <xf numFmtId="0" fontId="17" fillId="2" borderId="51" xfId="0" applyFont="1" applyFill="1" applyBorder="1" applyAlignment="1" applyProtection="1">
      <alignment horizontal="left" vertical="center" wrapText="1"/>
      <protection hidden="1"/>
    </xf>
    <xf numFmtId="0" fontId="17" fillId="2" borderId="52" xfId="0" applyFont="1" applyFill="1" applyBorder="1" applyAlignment="1" applyProtection="1">
      <alignment horizontal="left" vertical="center" wrapText="1"/>
      <protection hidden="1"/>
    </xf>
    <xf numFmtId="0" fontId="17" fillId="3" borderId="26" xfId="0" applyFont="1" applyFill="1" applyBorder="1" applyAlignment="1" applyProtection="1">
      <alignment horizontal="center" vertical="center" wrapText="1"/>
      <protection locked="0"/>
    </xf>
    <xf numFmtId="0" fontId="17" fillId="3" borderId="47" xfId="0" applyFont="1" applyFill="1" applyBorder="1" applyAlignment="1" applyProtection="1">
      <alignment horizontal="center" vertical="center" wrapText="1"/>
      <protection locked="0"/>
    </xf>
    <xf numFmtId="0" fontId="17" fillId="3" borderId="50" xfId="0" applyFont="1" applyFill="1" applyBorder="1" applyAlignment="1" applyProtection="1">
      <alignment horizontal="center" vertical="center" wrapText="1"/>
      <protection locked="0"/>
    </xf>
    <xf numFmtId="0" fontId="18" fillId="3" borderId="14" xfId="0" applyFont="1" applyFill="1" applyBorder="1" applyAlignment="1" applyProtection="1">
      <alignment horizontal="center" vertical="center" wrapText="1"/>
      <protection locked="0"/>
    </xf>
    <xf numFmtId="0" fontId="18" fillId="3" borderId="32" xfId="0" applyFont="1" applyFill="1" applyBorder="1" applyAlignment="1" applyProtection="1">
      <alignment horizontal="center" vertical="center" wrapText="1"/>
      <protection locked="0"/>
    </xf>
    <xf numFmtId="0" fontId="18" fillId="3" borderId="13" xfId="0" applyFont="1" applyFill="1" applyBorder="1" applyAlignment="1" applyProtection="1">
      <alignment horizontal="center" vertical="center" wrapText="1"/>
      <protection locked="0"/>
    </xf>
    <xf numFmtId="0" fontId="18" fillId="3" borderId="32" xfId="0" applyFont="1" applyFill="1" applyBorder="1" applyAlignment="1" applyProtection="1">
      <alignment horizontal="left" vertical="top" wrapText="1"/>
      <protection locked="0"/>
    </xf>
    <xf numFmtId="0" fontId="18" fillId="3" borderId="9" xfId="0" applyFont="1" applyFill="1" applyBorder="1" applyAlignment="1" applyProtection="1">
      <alignment horizontal="left" vertical="top" wrapText="1"/>
      <protection locked="0"/>
    </xf>
    <xf numFmtId="0" fontId="18" fillId="3" borderId="18" xfId="0" applyFont="1" applyFill="1" applyBorder="1" applyAlignment="1" applyProtection="1">
      <alignment horizontal="left" vertical="top" wrapText="1"/>
      <protection locked="0"/>
    </xf>
    <xf numFmtId="0" fontId="18" fillId="3" borderId="13" xfId="0" applyFont="1" applyFill="1" applyBorder="1" applyAlignment="1" applyProtection="1">
      <alignment horizontal="left" vertical="top" wrapText="1"/>
      <protection locked="0"/>
    </xf>
    <xf numFmtId="0" fontId="18" fillId="3" borderId="10" xfId="0" applyFont="1" applyFill="1" applyBorder="1" applyAlignment="1" applyProtection="1">
      <alignment horizontal="left" vertical="top" wrapText="1"/>
      <protection locked="0"/>
    </xf>
    <xf numFmtId="0" fontId="18" fillId="3" borderId="21" xfId="0" applyFont="1" applyFill="1" applyBorder="1" applyAlignment="1" applyProtection="1">
      <alignment horizontal="left" vertical="top" wrapText="1"/>
      <protection locked="0"/>
    </xf>
    <xf numFmtId="0" fontId="18" fillId="3" borderId="14" xfId="0" applyFont="1" applyFill="1" applyBorder="1" applyAlignment="1" applyProtection="1">
      <alignment horizontal="left" vertical="top" wrapText="1"/>
      <protection locked="0"/>
    </xf>
    <xf numFmtId="0" fontId="18" fillId="3" borderId="28" xfId="0" applyFont="1" applyFill="1" applyBorder="1" applyAlignment="1" applyProtection="1">
      <alignment horizontal="left" vertical="top" wrapText="1"/>
      <protection locked="0"/>
    </xf>
    <xf numFmtId="0" fontId="18" fillId="3" borderId="22" xfId="0" applyFont="1" applyFill="1" applyBorder="1" applyAlignment="1" applyProtection="1">
      <alignment horizontal="left" vertical="top" wrapText="1"/>
      <protection locked="0"/>
    </xf>
    <xf numFmtId="0" fontId="23" fillId="7" borderId="14" xfId="0" applyFont="1" applyFill="1" applyBorder="1" applyAlignment="1">
      <alignment horizontal="center" vertical="center" wrapText="1"/>
    </xf>
    <xf numFmtId="0" fontId="23" fillId="7" borderId="28" xfId="0" applyFont="1" applyFill="1" applyBorder="1" applyAlignment="1">
      <alignment horizontal="center" vertical="center" wrapText="1"/>
    </xf>
    <xf numFmtId="0" fontId="23" fillId="7" borderId="22" xfId="0" applyFont="1" applyFill="1" applyBorder="1" applyAlignment="1">
      <alignment horizontal="center" vertical="center" wrapText="1"/>
    </xf>
    <xf numFmtId="0" fontId="18" fillId="0" borderId="23" xfId="0" applyFont="1" applyFill="1" applyBorder="1" applyAlignment="1" applyProtection="1">
      <alignment horizontal="center" vertical="center" wrapText="1"/>
      <protection hidden="1"/>
    </xf>
    <xf numFmtId="0" fontId="18" fillId="0" borderId="63" xfId="0" applyFont="1" applyFill="1" applyBorder="1" applyAlignment="1" applyProtection="1">
      <alignment horizontal="center" vertical="center" wrapText="1"/>
      <protection hidden="1"/>
    </xf>
    <xf numFmtId="0" fontId="34" fillId="2" borderId="61" xfId="1" applyNumberFormat="1" applyFont="1" applyFill="1" applyBorder="1" applyAlignment="1" applyProtection="1">
      <alignment horizontal="center" vertical="center" wrapText="1"/>
      <protection hidden="1"/>
    </xf>
    <xf numFmtId="0" fontId="34" fillId="2" borderId="5" xfId="1" applyNumberFormat="1" applyFont="1" applyFill="1" applyBorder="1" applyAlignment="1" applyProtection="1">
      <alignment horizontal="center" vertical="center" wrapText="1"/>
      <protection hidden="1"/>
    </xf>
    <xf numFmtId="0" fontId="34" fillId="2" borderId="62" xfId="1" applyNumberFormat="1" applyFont="1" applyFill="1" applyBorder="1" applyAlignment="1" applyProtection="1">
      <alignment horizontal="center" vertical="center" wrapText="1"/>
      <protection hidden="1"/>
    </xf>
    <xf numFmtId="0" fontId="34" fillId="2" borderId="2" xfId="1" applyNumberFormat="1" applyFont="1" applyFill="1" applyBorder="1" applyAlignment="1" applyProtection="1">
      <alignment horizontal="center" vertical="center" wrapText="1"/>
      <protection hidden="1"/>
    </xf>
    <xf numFmtId="0" fontId="34" fillId="2" borderId="40" xfId="1" applyNumberFormat="1" applyFont="1" applyFill="1" applyBorder="1" applyAlignment="1" applyProtection="1">
      <alignment horizontal="center" vertical="center" wrapText="1"/>
      <protection hidden="1"/>
    </xf>
    <xf numFmtId="0" fontId="34" fillId="2" borderId="8" xfId="1" applyNumberFormat="1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12" xfId="0" applyFont="1" applyFill="1" applyBorder="1" applyAlignment="1" applyProtection="1">
      <alignment horizontal="center" vertical="center" wrapText="1"/>
      <protection hidden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2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8" fillId="0" borderId="23" xfId="0" applyFont="1" applyFill="1" applyBorder="1" applyAlignment="1" applyProtection="1">
      <alignment horizontal="center" vertical="center" wrapText="1"/>
    </xf>
    <xf numFmtId="0" fontId="18" fillId="0" borderId="63" xfId="0" applyFont="1" applyFill="1" applyBorder="1" applyAlignment="1" applyProtection="1">
      <alignment horizontal="center" vertical="center" wrapText="1"/>
    </xf>
    <xf numFmtId="0" fontId="17" fillId="4" borderId="37" xfId="0" applyFont="1" applyFill="1" applyBorder="1" applyAlignment="1" applyProtection="1">
      <alignment horizontal="center" vertical="center" wrapText="1"/>
      <protection hidden="1"/>
    </xf>
    <xf numFmtId="0" fontId="17" fillId="2" borderId="3" xfId="0" applyFont="1" applyFill="1" applyBorder="1" applyAlignment="1" applyProtection="1">
      <alignment horizontal="center" vertical="center"/>
      <protection hidden="1"/>
    </xf>
    <xf numFmtId="0" fontId="17" fillId="2" borderId="49" xfId="0" applyFont="1" applyFill="1" applyBorder="1" applyAlignment="1" applyProtection="1">
      <alignment horizontal="center" vertical="center"/>
      <protection hidden="1"/>
    </xf>
    <xf numFmtId="0" fontId="17" fillId="2" borderId="6" xfId="0" applyFont="1" applyFill="1" applyBorder="1" applyAlignment="1" applyProtection="1">
      <alignment horizontal="center" vertical="center"/>
      <protection hidden="1"/>
    </xf>
    <xf numFmtId="0" fontId="17" fillId="2" borderId="39" xfId="0" applyFont="1" applyFill="1" applyBorder="1" applyAlignment="1" applyProtection="1">
      <alignment horizontal="center" vertical="center"/>
      <protection hidden="1"/>
    </xf>
    <xf numFmtId="0" fontId="17" fillId="4" borderId="27" xfId="0" applyFont="1" applyFill="1" applyBorder="1" applyAlignment="1" applyProtection="1">
      <alignment horizontal="center" vertical="center" wrapText="1"/>
      <protection hidden="1"/>
    </xf>
    <xf numFmtId="0" fontId="17" fillId="4" borderId="12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/>
      <protection hidden="1"/>
    </xf>
    <xf numFmtId="0" fontId="18" fillId="2" borderId="18" xfId="0" applyFont="1" applyFill="1" applyBorder="1" applyAlignment="1" applyProtection="1">
      <alignment horizontal="center" vertical="center"/>
      <protection hidden="1"/>
    </xf>
    <xf numFmtId="0" fontId="18" fillId="2" borderId="28" xfId="0" applyFont="1" applyFill="1" applyBorder="1" applyAlignment="1" applyProtection="1">
      <alignment horizontal="center" vertical="center"/>
      <protection hidden="1"/>
    </xf>
    <xf numFmtId="0" fontId="18" fillId="2" borderId="22" xfId="0" applyFont="1" applyFill="1" applyBorder="1" applyAlignment="1" applyProtection="1">
      <alignment horizontal="center" vertical="center"/>
      <protection hidden="1"/>
    </xf>
    <xf numFmtId="0" fontId="17" fillId="4" borderId="13" xfId="0" applyFont="1" applyFill="1" applyBorder="1" applyAlignment="1" applyProtection="1">
      <alignment horizontal="center" vertical="center" wrapText="1"/>
      <protection hidden="1"/>
    </xf>
    <xf numFmtId="0" fontId="18" fillId="2" borderId="32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4" borderId="5" xfId="0" applyFont="1" applyFill="1" applyBorder="1" applyAlignment="1" applyProtection="1">
      <alignment horizontal="center" vertical="center" wrapText="1"/>
      <protection hidden="1"/>
    </xf>
    <xf numFmtId="0" fontId="17" fillId="4" borderId="2" xfId="0" applyFont="1" applyFill="1" applyBorder="1" applyAlignment="1" applyProtection="1">
      <alignment horizontal="center" vertical="center" wrapText="1"/>
      <protection hidden="1"/>
    </xf>
    <xf numFmtId="0" fontId="18" fillId="2" borderId="31" xfId="0" applyFont="1" applyFill="1" applyBorder="1" applyAlignment="1" applyProtection="1">
      <alignment horizontal="center" vertical="center" wrapText="1"/>
      <protection hidden="1"/>
    </xf>
    <xf numFmtId="0" fontId="18" fillId="2" borderId="11" xfId="0" applyFont="1" applyFill="1" applyBorder="1" applyAlignment="1" applyProtection="1">
      <alignment horizontal="center" vertical="center" wrapText="1"/>
      <protection hidden="1"/>
    </xf>
    <xf numFmtId="0" fontId="44" fillId="2" borderId="0" xfId="0" applyFont="1" applyFill="1" applyBorder="1" applyAlignment="1" applyProtection="1">
      <alignment horizontal="left" vertical="center" wrapText="1"/>
      <protection hidden="1"/>
    </xf>
    <xf numFmtId="0" fontId="17" fillId="4" borderId="31" xfId="0" applyFont="1" applyFill="1" applyBorder="1" applyAlignment="1" applyProtection="1">
      <alignment horizontal="center" vertical="center" wrapText="1"/>
      <protection hidden="1"/>
    </xf>
    <xf numFmtId="0" fontId="43" fillId="3" borderId="28" xfId="0" applyFont="1" applyFill="1" applyBorder="1" applyAlignment="1" applyProtection="1">
      <alignment horizontal="center" vertical="center" wrapText="1"/>
      <protection locked="0"/>
    </xf>
    <xf numFmtId="0" fontId="43" fillId="3" borderId="22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0" fontId="43" fillId="3" borderId="9" xfId="0" applyFont="1" applyFill="1" applyBorder="1" applyAlignment="1" applyProtection="1">
      <alignment horizontal="center" vertical="center" wrapText="1"/>
      <protection locked="0"/>
    </xf>
    <xf numFmtId="0" fontId="43" fillId="3" borderId="18" xfId="0" applyFont="1" applyFill="1" applyBorder="1" applyAlignment="1" applyProtection="1">
      <alignment horizontal="center" vertical="center" wrapText="1"/>
      <protection locked="0"/>
    </xf>
    <xf numFmtId="0" fontId="18" fillId="2" borderId="28" xfId="0" applyNumberFormat="1" applyFont="1" applyFill="1" applyBorder="1" applyAlignment="1" applyProtection="1">
      <alignment horizontal="center" vertical="center" wrapText="1"/>
      <protection hidden="1"/>
    </xf>
    <xf numFmtId="0" fontId="18" fillId="2" borderId="22" xfId="0" applyNumberFormat="1" applyFont="1" applyFill="1" applyBorder="1" applyAlignment="1" applyProtection="1">
      <alignment horizontal="center" vertical="center" wrapText="1"/>
      <protection hidden="1"/>
    </xf>
    <xf numFmtId="0" fontId="23" fillId="2" borderId="0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/>
      <protection hidden="1"/>
    </xf>
    <xf numFmtId="0" fontId="17" fillId="2" borderId="47" xfId="0" applyFont="1" applyFill="1" applyBorder="1" applyAlignment="1" applyProtection="1">
      <alignment horizontal="center" vertical="center"/>
      <protection hidden="1"/>
    </xf>
    <xf numFmtId="0" fontId="17" fillId="2" borderId="48" xfId="0" applyFont="1" applyFill="1" applyBorder="1" applyAlignment="1" applyProtection="1">
      <alignment horizontal="center" vertical="center"/>
      <protection hidden="1"/>
    </xf>
    <xf numFmtId="0" fontId="18" fillId="2" borderId="10" xfId="0" applyNumberFormat="1" applyFont="1" applyFill="1" applyBorder="1" applyAlignment="1" applyProtection="1">
      <alignment horizontal="center" vertical="center" wrapText="1"/>
      <protection hidden="1"/>
    </xf>
    <xf numFmtId="0" fontId="18" fillId="2" borderId="21" xfId="0" applyNumberFormat="1" applyFont="1" applyFill="1" applyBorder="1" applyAlignment="1" applyProtection="1">
      <alignment horizontal="center" vertical="center" wrapText="1"/>
      <protection hidden="1"/>
    </xf>
    <xf numFmtId="0" fontId="17" fillId="3" borderId="29" xfId="0" applyFont="1" applyFill="1" applyBorder="1" applyAlignment="1" applyProtection="1">
      <alignment horizontal="center" vertical="center" wrapText="1"/>
      <protection locked="0"/>
    </xf>
    <xf numFmtId="0" fontId="17" fillId="3" borderId="59" xfId="0" applyFont="1" applyFill="1" applyBorder="1" applyAlignment="1" applyProtection="1">
      <alignment horizontal="center" vertical="center" wrapText="1"/>
      <protection locked="0"/>
    </xf>
    <xf numFmtId="0" fontId="17" fillId="3" borderId="34" xfId="0" applyFont="1" applyFill="1" applyBorder="1" applyAlignment="1" applyProtection="1">
      <alignment horizontal="center" vertical="center" wrapText="1"/>
      <protection locked="0"/>
    </xf>
    <xf numFmtId="0" fontId="21" fillId="0" borderId="0" xfId="0" applyFont="1" applyFill="1" applyBorder="1" applyAlignment="1">
      <alignment horizontal="center" vertical="center" wrapText="1"/>
    </xf>
    <xf numFmtId="0" fontId="23" fillId="7" borderId="14" xfId="0" applyFont="1" applyFill="1" applyBorder="1" applyAlignment="1" applyProtection="1">
      <alignment horizontal="center" vertical="center" wrapText="1"/>
      <protection hidden="1"/>
    </xf>
    <xf numFmtId="0" fontId="23" fillId="7" borderId="28" xfId="0" applyFont="1" applyFill="1" applyBorder="1" applyAlignment="1" applyProtection="1">
      <alignment horizontal="center" vertical="center" wrapText="1"/>
      <protection hidden="1"/>
    </xf>
    <xf numFmtId="0" fontId="23" fillId="7" borderId="22" xfId="0" applyFont="1" applyFill="1" applyBorder="1" applyAlignment="1" applyProtection="1">
      <alignment horizontal="center" vertical="center" wrapText="1"/>
      <protection hidden="1"/>
    </xf>
    <xf numFmtId="0" fontId="17" fillId="2" borderId="18" xfId="0" applyFont="1" applyFill="1" applyBorder="1" applyAlignment="1" applyProtection="1">
      <alignment horizontal="left" vertical="center" wrapText="1"/>
      <protection hidden="1"/>
    </xf>
    <xf numFmtId="2" fontId="18" fillId="0" borderId="60" xfId="0" applyNumberFormat="1" applyFont="1" applyFill="1" applyBorder="1" applyAlignment="1" applyProtection="1">
      <alignment horizontal="center" vertical="center" wrapText="1"/>
      <protection hidden="1"/>
    </xf>
    <xf numFmtId="0" fontId="17" fillId="2" borderId="58" xfId="0" applyFont="1" applyFill="1" applyBorder="1" applyAlignment="1" applyProtection="1">
      <alignment horizontal="left" vertical="center" wrapText="1"/>
      <protection hidden="1"/>
    </xf>
    <xf numFmtId="0" fontId="18" fillId="3" borderId="51" xfId="0" applyFont="1" applyFill="1" applyBorder="1" applyAlignment="1" applyProtection="1">
      <alignment horizontal="left" vertical="center" wrapText="1"/>
      <protection locked="0"/>
    </xf>
    <xf numFmtId="0" fontId="18" fillId="3" borderId="52" xfId="0" applyFont="1" applyFill="1" applyBorder="1" applyAlignment="1" applyProtection="1">
      <alignment horizontal="left" vertical="center" wrapText="1"/>
      <protection locked="0"/>
    </xf>
    <xf numFmtId="0" fontId="18" fillId="3" borderId="58" xfId="0" applyFont="1" applyFill="1" applyBorder="1" applyAlignment="1" applyProtection="1">
      <alignment horizontal="left" vertical="center" wrapText="1"/>
      <protection locked="0"/>
    </xf>
    <xf numFmtId="0" fontId="18" fillId="3" borderId="52" xfId="0" applyFont="1" applyFill="1" applyBorder="1" applyAlignment="1" applyProtection="1">
      <alignment horizontal="center" vertical="center" wrapText="1"/>
      <protection locked="0"/>
    </xf>
    <xf numFmtId="0" fontId="17" fillId="2" borderId="7" xfId="0" applyFont="1" applyFill="1" applyBorder="1" applyAlignment="1" applyProtection="1">
      <alignment horizontal="left" vertical="center" wrapText="1"/>
      <protection hidden="1"/>
    </xf>
    <xf numFmtId="0" fontId="32" fillId="0" borderId="0" xfId="0" applyFont="1" applyFill="1" applyAlignment="1" applyProtection="1">
      <alignment horizontal="center" vertical="center" wrapText="1"/>
      <protection hidden="1"/>
    </xf>
    <xf numFmtId="0" fontId="30" fillId="0" borderId="0" xfId="0" applyFont="1" applyFill="1" applyAlignment="1" applyProtection="1">
      <alignment horizontal="center" vertical="center" wrapText="1"/>
      <protection hidden="1"/>
    </xf>
    <xf numFmtId="0" fontId="24" fillId="2" borderId="4" xfId="0" applyFont="1" applyFill="1" applyBorder="1" applyAlignment="1" applyProtection="1">
      <alignment horizontal="center" vertical="top" wrapText="1"/>
      <protection hidden="1"/>
    </xf>
    <xf numFmtId="0" fontId="24" fillId="2" borderId="0" xfId="0" applyFont="1" applyFill="1" applyBorder="1" applyAlignment="1" applyProtection="1">
      <alignment horizontal="center" vertical="top" wrapText="1"/>
      <protection hidden="1"/>
    </xf>
    <xf numFmtId="2" fontId="18" fillId="0" borderId="28" xfId="3" applyNumberFormat="1" applyFont="1" applyFill="1" applyBorder="1" applyAlignment="1" applyProtection="1">
      <alignment horizontal="center" vertical="center" wrapText="1"/>
      <protection hidden="1"/>
    </xf>
    <xf numFmtId="0" fontId="18" fillId="3" borderId="6" xfId="0" applyFont="1" applyFill="1" applyBorder="1" applyAlignment="1" applyProtection="1">
      <alignment horizontal="center" vertical="center" wrapText="1"/>
      <protection locked="0"/>
    </xf>
    <xf numFmtId="0" fontId="18" fillId="3" borderId="7" xfId="0" applyFont="1" applyFill="1" applyBorder="1" applyAlignment="1" applyProtection="1">
      <alignment horizontal="center" vertical="center" wrapText="1"/>
      <protection locked="0"/>
    </xf>
    <xf numFmtId="0" fontId="18" fillId="3" borderId="8" xfId="0" applyFont="1" applyFill="1" applyBorder="1" applyAlignment="1" applyProtection="1">
      <alignment horizontal="center" vertical="center" wrapText="1"/>
      <protection locked="0"/>
    </xf>
    <xf numFmtId="0" fontId="17" fillId="4" borderId="32" xfId="0" applyFont="1" applyFill="1" applyBorder="1" applyAlignment="1">
      <alignment horizontal="left" vertical="center" wrapText="1"/>
    </xf>
    <xf numFmtId="0" fontId="17" fillId="4" borderId="9" xfId="0" applyFont="1" applyFill="1" applyBorder="1" applyAlignment="1">
      <alignment horizontal="left" vertical="center" wrapText="1"/>
    </xf>
    <xf numFmtId="0" fontId="17" fillId="4" borderId="18" xfId="0" applyFont="1" applyFill="1" applyBorder="1" applyAlignment="1">
      <alignment horizontal="left" vertical="center" wrapText="1"/>
    </xf>
    <xf numFmtId="0" fontId="18" fillId="3" borderId="70" xfId="0" applyFont="1" applyFill="1" applyBorder="1" applyAlignment="1" applyProtection="1">
      <alignment horizontal="center" vertical="center" wrapText="1"/>
      <protection locked="0"/>
    </xf>
    <xf numFmtId="0" fontId="18" fillId="3" borderId="71" xfId="0" applyFont="1" applyFill="1" applyBorder="1" applyAlignment="1" applyProtection="1">
      <alignment horizontal="center" vertical="center" wrapText="1"/>
      <protection locked="0"/>
    </xf>
    <xf numFmtId="0" fontId="18" fillId="3" borderId="72" xfId="0" applyFont="1" applyFill="1" applyBorder="1" applyAlignment="1" applyProtection="1">
      <alignment horizontal="center" vertical="center" wrapText="1"/>
      <protection locked="0"/>
    </xf>
    <xf numFmtId="0" fontId="17" fillId="4" borderId="30" xfId="0" applyFont="1" applyFill="1" applyBorder="1" applyAlignment="1">
      <alignment horizontal="center" vertical="center" wrapText="1"/>
    </xf>
    <xf numFmtId="0" fontId="17" fillId="4" borderId="47" xfId="0" applyFont="1" applyFill="1" applyBorder="1" applyAlignment="1">
      <alignment horizontal="center" vertical="center" wrapText="1"/>
    </xf>
    <xf numFmtId="0" fontId="17" fillId="4" borderId="50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 applyProtection="1">
      <alignment horizontal="center" vertical="center" wrapText="1"/>
    </xf>
    <xf numFmtId="0" fontId="17" fillId="2" borderId="8" xfId="0" applyFont="1" applyFill="1" applyBorder="1" applyAlignment="1" applyProtection="1">
      <alignment horizontal="center" vertical="center" wrapText="1"/>
    </xf>
    <xf numFmtId="0" fontId="18" fillId="2" borderId="27" xfId="0" applyFont="1" applyFill="1" applyBorder="1" applyAlignment="1" applyProtection="1">
      <alignment horizontal="center" vertical="center" wrapText="1"/>
    </xf>
    <xf numFmtId="0" fontId="18" fillId="2" borderId="12" xfId="0" applyFont="1" applyFill="1" applyBorder="1" applyAlignment="1" applyProtection="1">
      <alignment horizontal="center" vertical="center" wrapText="1"/>
    </xf>
    <xf numFmtId="0" fontId="17" fillId="2" borderId="64" xfId="0" applyFont="1" applyFill="1" applyBorder="1" applyAlignment="1">
      <alignment horizontal="left" vertical="center" wrapText="1"/>
    </xf>
    <xf numFmtId="0" fontId="17" fillId="2" borderId="59" xfId="0" applyFont="1" applyFill="1" applyBorder="1" applyAlignment="1">
      <alignment horizontal="left" vertical="center" wrapText="1"/>
    </xf>
    <xf numFmtId="0" fontId="18" fillId="3" borderId="14" xfId="0" applyFont="1" applyFill="1" applyBorder="1" applyAlignment="1" applyProtection="1">
      <alignment horizontal="left" vertical="center" wrapText="1"/>
      <protection locked="0"/>
    </xf>
    <xf numFmtId="0" fontId="23" fillId="2" borderId="0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2" borderId="55" xfId="0" applyFont="1" applyFill="1" applyBorder="1" applyAlignment="1">
      <alignment horizontal="center" vertical="center" wrapText="1"/>
    </xf>
    <xf numFmtId="0" fontId="17" fillId="0" borderId="56" xfId="0" applyFont="1" applyBorder="1"/>
    <xf numFmtId="0" fontId="17" fillId="0" borderId="57" xfId="0" applyFont="1" applyBorder="1"/>
    <xf numFmtId="0" fontId="17" fillId="4" borderId="67" xfId="0" applyFont="1" applyFill="1" applyBorder="1" applyAlignment="1">
      <alignment horizontal="center" vertical="center" wrapText="1"/>
    </xf>
    <xf numFmtId="0" fontId="17" fillId="4" borderId="53" xfId="0" applyFont="1" applyFill="1" applyBorder="1" applyAlignment="1">
      <alignment horizontal="center" vertical="center" wrapText="1"/>
    </xf>
    <xf numFmtId="0" fontId="17" fillId="4" borderId="54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 applyProtection="1">
      <alignment horizont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18" xfId="0" applyFont="1" applyFill="1" applyBorder="1" applyAlignment="1" applyProtection="1">
      <alignment horizontal="center" vertical="center"/>
      <protection locked="0"/>
    </xf>
    <xf numFmtId="0" fontId="18" fillId="3" borderId="12" xfId="0" applyFont="1" applyFill="1" applyBorder="1" applyAlignment="1" applyProtection="1">
      <alignment horizontal="center" vertical="center"/>
      <protection locked="0"/>
    </xf>
    <xf numFmtId="0" fontId="18" fillId="3" borderId="15" xfId="0" applyFont="1" applyFill="1" applyBorder="1" applyAlignment="1" applyProtection="1">
      <alignment horizontal="center" vertical="center"/>
      <protection locked="0"/>
    </xf>
    <xf numFmtId="0" fontId="18" fillId="2" borderId="9" xfId="0" applyNumberFormat="1" applyFont="1" applyFill="1" applyBorder="1" applyAlignment="1">
      <alignment horizontal="center" vertical="center" wrapText="1"/>
    </xf>
    <xf numFmtId="0" fontId="18" fillId="2" borderId="18" xfId="0" applyNumberFormat="1" applyFont="1" applyFill="1" applyBorder="1" applyAlignment="1">
      <alignment horizontal="center" vertical="center" wrapText="1"/>
    </xf>
    <xf numFmtId="0" fontId="18" fillId="2" borderId="10" xfId="0" applyNumberFormat="1" applyFont="1" applyFill="1" applyBorder="1" applyAlignment="1">
      <alignment horizontal="center" vertical="center" wrapText="1"/>
    </xf>
    <xf numFmtId="0" fontId="18" fillId="2" borderId="21" xfId="0" applyNumberFormat="1" applyFont="1" applyFill="1" applyBorder="1" applyAlignment="1">
      <alignment horizontal="center" vertical="center" wrapText="1"/>
    </xf>
    <xf numFmtId="0" fontId="18" fillId="2" borderId="28" xfId="0" applyNumberFormat="1" applyFont="1" applyFill="1" applyBorder="1" applyAlignment="1">
      <alignment horizontal="center" vertical="center" wrapText="1"/>
    </xf>
    <xf numFmtId="0" fontId="18" fillId="2" borderId="22" xfId="0" applyNumberFormat="1" applyFont="1" applyFill="1" applyBorder="1" applyAlignment="1">
      <alignment horizontal="center" vertical="center" wrapText="1"/>
    </xf>
    <xf numFmtId="0" fontId="17" fillId="2" borderId="56" xfId="0" applyFont="1" applyFill="1" applyBorder="1" applyAlignment="1">
      <alignment horizontal="center" vertical="center" wrapText="1"/>
    </xf>
    <xf numFmtId="0" fontId="17" fillId="2" borderId="57" xfId="0" applyFont="1" applyFill="1" applyBorder="1" applyAlignment="1">
      <alignment horizontal="center" vertical="center" wrapText="1"/>
    </xf>
    <xf numFmtId="0" fontId="18" fillId="3" borderId="32" xfId="0" applyFont="1" applyFill="1" applyBorder="1" applyAlignment="1" applyProtection="1">
      <alignment horizontal="left" vertical="center" wrapText="1"/>
      <protection locked="0"/>
    </xf>
    <xf numFmtId="0" fontId="18" fillId="2" borderId="9" xfId="0" applyFont="1" applyFill="1" applyBorder="1" applyAlignment="1" applyProtection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49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49" fontId="18" fillId="3" borderId="28" xfId="0" applyNumberFormat="1" applyFont="1" applyFill="1" applyBorder="1" applyAlignment="1" applyProtection="1">
      <alignment horizontal="center" vertical="center"/>
      <protection locked="0"/>
    </xf>
    <xf numFmtId="49" fontId="18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3" borderId="18" xfId="0" applyFont="1" applyFill="1" applyBorder="1" applyAlignment="1" applyProtection="1">
      <alignment horizontal="center" vertical="center" wrapText="1"/>
      <protection locked="0"/>
    </xf>
    <xf numFmtId="0" fontId="17" fillId="3" borderId="21" xfId="0" applyFont="1" applyFill="1" applyBorder="1" applyAlignment="1" applyProtection="1">
      <alignment horizontal="center" vertical="center" wrapText="1"/>
      <protection locked="0"/>
    </xf>
    <xf numFmtId="0" fontId="17" fillId="2" borderId="58" xfId="0" applyFont="1" applyFill="1" applyBorder="1" applyAlignment="1">
      <alignment horizontal="left" vertical="center" wrapText="1"/>
    </xf>
    <xf numFmtId="0" fontId="18" fillId="2" borderId="10" xfId="0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 applyProtection="1">
      <alignment horizontal="center" vertical="center"/>
    </xf>
    <xf numFmtId="0" fontId="17" fillId="4" borderId="3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left" vertical="center" wrapText="1"/>
    </xf>
    <xf numFmtId="0" fontId="17" fillId="2" borderId="9" xfId="0" applyFont="1" applyFill="1" applyBorder="1" applyAlignment="1" applyProtection="1">
      <alignment horizontal="center" vertical="center"/>
    </xf>
    <xf numFmtId="0" fontId="17" fillId="2" borderId="13" xfId="0" applyFont="1" applyFill="1" applyBorder="1" applyAlignment="1" applyProtection="1">
      <alignment horizontal="center" vertical="center"/>
    </xf>
    <xf numFmtId="0" fontId="17" fillId="2" borderId="10" xfId="0" applyFont="1" applyFill="1" applyBorder="1" applyAlignment="1" applyProtection="1">
      <alignment horizontal="center" vertical="center"/>
    </xf>
    <xf numFmtId="0" fontId="17" fillId="2" borderId="14" xfId="0" applyFont="1" applyFill="1" applyBorder="1" applyAlignment="1" applyProtection="1">
      <alignment horizontal="center" vertical="center"/>
    </xf>
    <xf numFmtId="0" fontId="17" fillId="2" borderId="28" xfId="0" applyFont="1" applyFill="1" applyBorder="1" applyAlignment="1" applyProtection="1">
      <alignment horizontal="center" vertical="center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0" fontId="47" fillId="2" borderId="0" xfId="0" applyFont="1" applyFill="1" applyAlignment="1" applyProtection="1">
      <alignment horizontal="right" vertical="center" wrapText="1"/>
      <protection hidden="1"/>
    </xf>
    <xf numFmtId="0" fontId="18" fillId="2" borderId="0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 applyProtection="1">
      <alignment horizontal="center" vertical="top" wrapText="1"/>
    </xf>
    <xf numFmtId="0" fontId="24" fillId="2" borderId="0" xfId="0" applyFont="1" applyFill="1" applyBorder="1" applyAlignment="1" applyProtection="1">
      <alignment horizontal="center" vertical="top" wrapText="1"/>
    </xf>
    <xf numFmtId="0" fontId="24" fillId="2" borderId="0" xfId="0" applyFont="1" applyFill="1" applyBorder="1" applyAlignment="1" applyProtection="1">
      <alignment horizontal="center" vertical="top"/>
    </xf>
    <xf numFmtId="0" fontId="17" fillId="2" borderId="13" xfId="0" applyFont="1" applyFill="1" applyBorder="1" applyAlignment="1" applyProtection="1">
      <alignment horizontal="center" vertical="center" wrapText="1"/>
    </xf>
    <xf numFmtId="0" fontId="17" fillId="2" borderId="10" xfId="0" applyFont="1" applyFill="1" applyBorder="1" applyAlignment="1" applyProtection="1">
      <alignment horizontal="center" vertical="center" wrapText="1"/>
    </xf>
    <xf numFmtId="0" fontId="18" fillId="3" borderId="13" xfId="0" applyFont="1" applyFill="1" applyBorder="1" applyAlignment="1" applyProtection="1">
      <alignment horizontal="left" vertical="center" wrapText="1"/>
      <protection locked="0"/>
    </xf>
    <xf numFmtId="0" fontId="18" fillId="3" borderId="10" xfId="0" applyFont="1" applyFill="1" applyBorder="1" applyAlignment="1" applyProtection="1">
      <alignment horizontal="left" vertical="center" wrapText="1"/>
      <protection locked="0"/>
    </xf>
    <xf numFmtId="0" fontId="18" fillId="3" borderId="21" xfId="0" applyFont="1" applyFill="1" applyBorder="1" applyAlignment="1" applyProtection="1">
      <alignment horizontal="left" vertical="center" wrapText="1"/>
      <protection locked="0"/>
    </xf>
  </cellXfs>
  <cellStyles count="4">
    <cellStyle name="Millares" xfId="1" builtinId="3"/>
    <cellStyle name="Millares [0]" xfId="2" builtinId="6"/>
    <cellStyle name="Normal" xfId="0" builtinId="0"/>
    <cellStyle name="Porcentaje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76203817719434E-2"/>
          <c:y val="7.0800090519175546E-2"/>
          <c:w val="0.87157017783124402"/>
          <c:h val="0.763674679297527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'Inf. 72 horas'!$E$67</c:f>
              <c:strCache>
                <c:ptCount val="1"/>
                <c:pt idx="0">
                  <c:v>Número de casos</c:v>
                </c:pt>
              </c:strCache>
            </c:strRef>
          </c:tx>
          <c:spPr>
            <a:gradFill rotWithShape="0">
              <a:gsLst>
                <a:gs pos="0">
                  <a:srgbClr val="84A2D3"/>
                </a:gs>
                <a:gs pos="20000">
                  <a:srgbClr val="85A2D1"/>
                </a:gs>
                <a:gs pos="100000">
                  <a:srgbClr val="657B9F"/>
                </a:gs>
              </a:gsLst>
              <a:lin ang="5400000"/>
            </a:gradFill>
            <a:ln w="12700">
              <a:solidFill>
                <a:srgbClr val="333399"/>
              </a:solidFill>
              <a:prstDash val="solid"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cat>
            <c:numRef>
              <c:f>'Inf. 72 horas'!$D$68:$D$97</c:f>
              <c:numCache>
                <c:formatCode>General</c:formatCode>
                <c:ptCount val="3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</c:numCache>
            </c:numRef>
          </c:cat>
          <c:val>
            <c:numRef>
              <c:f>'Inf. 72 horas'!$E$68:$E$97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A-5447-B865-52F10FE67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99933120"/>
        <c:axId val="1"/>
      </c:barChart>
      <c:catAx>
        <c:axId val="1399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MX"/>
                  <a:t>Tiempo</a:t>
                </a:r>
              </a:p>
            </c:rich>
          </c:tx>
          <c:layout>
            <c:manualLayout>
              <c:xMode val="edge"/>
              <c:yMode val="edge"/>
              <c:x val="0.47623543171093252"/>
              <c:y val="0.917704022462308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MX"/>
                  <a:t>No. de casos</a:t>
                </a:r>
              </a:p>
            </c:rich>
          </c:tx>
          <c:layout>
            <c:manualLayout>
              <c:xMode val="edge"/>
              <c:yMode val="edge"/>
              <c:x val="1.6331171038853304E-2"/>
              <c:y val="0.3316327900872856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139993312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DCE6F2">
        <a:alpha val="47059"/>
      </a:srgbClr>
    </a:solidFill>
    <a:ln w="12700">
      <a:solidFill>
        <a:srgbClr val="3366FF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 alignWithMargins="0"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444500</xdr:colOff>
      <xdr:row>4</xdr:row>
      <xdr:rowOff>63500</xdr:rowOff>
    </xdr:from>
    <xdr:to>
      <xdr:col>4</xdr:col>
      <xdr:colOff>393700</xdr:colOff>
      <xdr:row>7</xdr:row>
      <xdr:rowOff>38100</xdr:rowOff>
    </xdr:to>
    <xdr:pic>
      <xdr:nvPicPr>
        <xdr:cNvPr id="63059" name="Imagen 4">
          <a:extLst>
            <a:ext uri="{FF2B5EF4-FFF2-40B4-BE49-F238E27FC236}">
              <a16:creationId xmlns:a16="http://schemas.microsoft.com/office/drawing/2014/main" id="{686F3295-2BC0-AC94-B8D0-3FEF0C8C7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914400"/>
          <a:ext cx="1701800" cy="93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66</xdr:row>
      <xdr:rowOff>0</xdr:rowOff>
    </xdr:from>
    <xdr:to>
      <xdr:col>17</xdr:col>
      <xdr:colOff>50800</xdr:colOff>
      <xdr:row>82</xdr:row>
      <xdr:rowOff>88900</xdr:rowOff>
    </xdr:to>
    <xdr:graphicFrame macro="">
      <xdr:nvGraphicFramePr>
        <xdr:cNvPr id="444790" name="4 Gráfico">
          <a:extLst>
            <a:ext uri="{FF2B5EF4-FFF2-40B4-BE49-F238E27FC236}">
              <a16:creationId xmlns:a16="http://schemas.microsoft.com/office/drawing/2014/main" id="{32E28FB1-E74A-904C-1CC7-E87832B10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698500</xdr:colOff>
      <xdr:row>3</xdr:row>
      <xdr:rowOff>393700</xdr:rowOff>
    </xdr:from>
    <xdr:to>
      <xdr:col>3</xdr:col>
      <xdr:colOff>1054100</xdr:colOff>
      <xdr:row>8</xdr:row>
      <xdr:rowOff>12700</xdr:rowOff>
    </xdr:to>
    <xdr:pic>
      <xdr:nvPicPr>
        <xdr:cNvPr id="444791" name="Imagen 10">
          <a:extLst>
            <a:ext uri="{FF2B5EF4-FFF2-40B4-BE49-F238E27FC236}">
              <a16:creationId xmlns:a16="http://schemas.microsoft.com/office/drawing/2014/main" id="{47612D5A-1744-494C-B6EE-EFC6F7067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990600"/>
          <a:ext cx="16891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749300</xdr:colOff>
      <xdr:row>4</xdr:row>
      <xdr:rowOff>12700</xdr:rowOff>
    </xdr:from>
    <xdr:to>
      <xdr:col>4</xdr:col>
      <xdr:colOff>571500</xdr:colOff>
      <xdr:row>8</xdr:row>
      <xdr:rowOff>76200</xdr:rowOff>
    </xdr:to>
    <xdr:pic>
      <xdr:nvPicPr>
        <xdr:cNvPr id="86561" name="Imagen 2">
          <a:extLst>
            <a:ext uri="{FF2B5EF4-FFF2-40B4-BE49-F238E27FC236}">
              <a16:creationId xmlns:a16="http://schemas.microsoft.com/office/drawing/2014/main" id="{FE535446-2CE1-3C0D-E645-D49433DA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600" y="812800"/>
          <a:ext cx="16637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99CCFF">
            <a:alpha val="39999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99CCFF">
            <a:alpha val="39999"/>
          </a:srgb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C20E-7544-6C46-A49F-2C8A9372017E}">
  <dimension ref="B1:Z68"/>
  <sheetViews>
    <sheetView tabSelected="1" zoomScale="70" zoomScaleNormal="70" workbookViewId="0">
      <selection activeCell="C18" sqref="C18:G18"/>
    </sheetView>
  </sheetViews>
  <sheetFormatPr baseColWidth="10" defaultColWidth="11.5" defaultRowHeight="15" x14ac:dyDescent="0.2"/>
  <cols>
    <col min="1" max="1" width="4.6640625" style="32" customWidth="1"/>
    <col min="2" max="2" width="3.5" style="32" customWidth="1"/>
    <col min="3" max="3" width="11.5" style="32"/>
    <col min="4" max="4" width="11.5" style="32" customWidth="1"/>
    <col min="5" max="5" width="21.83203125" style="32" customWidth="1"/>
    <col min="6" max="6" width="12.33203125" style="32" customWidth="1"/>
    <col min="7" max="7" width="15.5" style="32" customWidth="1"/>
    <col min="8" max="8" width="16.83203125" style="32" customWidth="1"/>
    <col min="9" max="9" width="14.1640625" style="32" customWidth="1"/>
    <col min="10" max="10" width="15.5" style="32" customWidth="1"/>
    <col min="11" max="11" width="12.83203125" style="32" customWidth="1"/>
    <col min="12" max="12" width="11.83203125" style="32" bestFit="1" customWidth="1"/>
    <col min="13" max="13" width="15.33203125" style="32" customWidth="1"/>
    <col min="14" max="14" width="16.1640625" style="32" customWidth="1"/>
    <col min="15" max="15" width="4" style="32" customWidth="1"/>
    <col min="16" max="16" width="4.6640625" style="32" customWidth="1"/>
    <col min="17" max="17" width="21.6640625" style="32" customWidth="1"/>
    <col min="18" max="16384" width="11.5" style="32"/>
  </cols>
  <sheetData>
    <row r="1" spans="2:25" ht="21" customHeight="1" thickBot="1" x14ac:dyDescent="0.25"/>
    <row r="2" spans="2:25" ht="7.5" customHeight="1" x14ac:dyDescent="0.2">
      <c r="B2" s="33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5"/>
    </row>
    <row r="3" spans="2:25" ht="24" x14ac:dyDescent="0.2">
      <c r="B3" s="6"/>
      <c r="C3" s="393" t="s">
        <v>43</v>
      </c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7"/>
    </row>
    <row r="4" spans="2:25" s="40" customFormat="1" ht="15" customHeight="1" thickBot="1" x14ac:dyDescent="0.25"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9"/>
    </row>
    <row r="5" spans="2:25" s="41" customFormat="1" ht="40.5" customHeight="1" x14ac:dyDescent="0.2">
      <c r="B5" s="10"/>
      <c r="C5" s="11"/>
      <c r="D5" s="402"/>
      <c r="E5" s="394" t="s">
        <v>112</v>
      </c>
      <c r="F5" s="394"/>
      <c r="G5" s="394"/>
      <c r="H5" s="394"/>
      <c r="I5" s="394"/>
      <c r="J5" s="394"/>
      <c r="K5" s="394"/>
      <c r="L5" s="394"/>
      <c r="M5" s="396" t="s">
        <v>52</v>
      </c>
      <c r="N5" s="11"/>
      <c r="O5" s="31"/>
      <c r="Q5" s="163"/>
    </row>
    <row r="6" spans="2:25" s="41" customFormat="1" ht="18.75" customHeight="1" x14ac:dyDescent="0.2">
      <c r="B6" s="10"/>
      <c r="C6" s="12"/>
      <c r="D6" s="402"/>
      <c r="E6" s="401" t="s">
        <v>20</v>
      </c>
      <c r="F6" s="401"/>
      <c r="G6" s="401"/>
      <c r="H6" s="401"/>
      <c r="I6" s="401"/>
      <c r="J6" s="401"/>
      <c r="K6" s="401"/>
      <c r="L6" s="401"/>
      <c r="M6" s="397"/>
      <c r="N6" s="12"/>
      <c r="O6" s="31"/>
    </row>
    <row r="7" spans="2:25" s="41" customFormat="1" ht="18.75" customHeight="1" x14ac:dyDescent="0.2">
      <c r="B7" s="10"/>
      <c r="C7" s="12"/>
      <c r="D7" s="402"/>
      <c r="E7" s="401" t="s">
        <v>113</v>
      </c>
      <c r="F7" s="401"/>
      <c r="G7" s="401"/>
      <c r="H7" s="401"/>
      <c r="I7" s="401"/>
      <c r="J7" s="401"/>
      <c r="K7" s="401"/>
      <c r="L7" s="401"/>
      <c r="M7" s="397"/>
      <c r="N7" s="12"/>
      <c r="O7" s="31"/>
      <c r="Q7" s="279"/>
    </row>
    <row r="8" spans="2:25" s="41" customFormat="1" ht="18.75" customHeight="1" thickBot="1" x14ac:dyDescent="0.25">
      <c r="B8" s="10"/>
      <c r="C8" s="12"/>
      <c r="D8" s="402"/>
      <c r="E8" s="401" t="s">
        <v>149</v>
      </c>
      <c r="F8" s="401"/>
      <c r="G8" s="401"/>
      <c r="H8" s="401"/>
      <c r="I8" s="401"/>
      <c r="J8" s="401"/>
      <c r="K8" s="401"/>
      <c r="L8" s="401"/>
      <c r="M8" s="398"/>
      <c r="N8" s="12"/>
      <c r="O8" s="31"/>
    </row>
    <row r="9" spans="2:25" s="41" customFormat="1" ht="20" thickBot="1" x14ac:dyDescent="0.25">
      <c r="B9" s="10"/>
      <c r="C9" s="122"/>
      <c r="D9" s="122"/>
      <c r="E9" s="122"/>
      <c r="F9" s="395"/>
      <c r="G9" s="395"/>
      <c r="H9" s="395"/>
      <c r="I9" s="395"/>
      <c r="J9" s="395"/>
      <c r="K9" s="395"/>
      <c r="L9" s="122"/>
      <c r="M9" s="122"/>
      <c r="N9" s="122"/>
      <c r="O9" s="31"/>
      <c r="Q9" s="123"/>
      <c r="R9" s="123"/>
      <c r="S9" s="123"/>
      <c r="T9" s="123"/>
      <c r="U9" s="123"/>
      <c r="V9" s="123"/>
      <c r="W9" s="123"/>
    </row>
    <row r="10" spans="2:25" s="41" customFormat="1" ht="19.5" customHeight="1" thickBot="1" x14ac:dyDescent="0.25">
      <c r="B10" s="10"/>
      <c r="C10" s="122"/>
      <c r="D10" s="122"/>
      <c r="E10" s="432"/>
      <c r="F10" s="433"/>
      <c r="G10" s="433"/>
      <c r="H10" s="433"/>
      <c r="I10" s="433"/>
      <c r="J10" s="433"/>
      <c r="K10" s="433"/>
      <c r="L10" s="434"/>
      <c r="M10" s="122"/>
      <c r="N10" s="122"/>
      <c r="O10" s="31"/>
      <c r="Q10" s="381"/>
      <c r="R10" s="381"/>
      <c r="S10" s="381"/>
      <c r="T10" s="381"/>
      <c r="U10" s="381"/>
      <c r="V10" s="381"/>
      <c r="W10" s="25"/>
      <c r="X10" s="25"/>
      <c r="Y10" s="25"/>
    </row>
    <row r="11" spans="2:25" s="41" customFormat="1" ht="20" thickBot="1" x14ac:dyDescent="0.25">
      <c r="B11" s="10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31"/>
      <c r="Q11" s="381"/>
      <c r="R11" s="381"/>
      <c r="S11" s="381"/>
      <c r="T11" s="381"/>
      <c r="U11" s="381"/>
      <c r="V11" s="381"/>
      <c r="W11" s="381"/>
      <c r="X11" s="25"/>
      <c r="Y11" s="25"/>
    </row>
    <row r="12" spans="2:25" s="41" customFormat="1" ht="18.75" customHeight="1" x14ac:dyDescent="0.2">
      <c r="B12" s="10"/>
      <c r="C12" s="365" t="s">
        <v>49</v>
      </c>
      <c r="D12" s="366"/>
      <c r="E12" s="366"/>
      <c r="F12" s="403"/>
      <c r="G12" s="403"/>
      <c r="H12" s="403"/>
      <c r="I12" s="403"/>
      <c r="J12" s="403"/>
      <c r="K12" s="403"/>
      <c r="L12" s="403"/>
      <c r="M12" s="403"/>
      <c r="N12" s="404"/>
      <c r="O12" s="31"/>
      <c r="Q12" s="381"/>
      <c r="R12" s="381"/>
      <c r="S12" s="381"/>
      <c r="T12" s="381"/>
      <c r="U12" s="381"/>
      <c r="V12" s="381"/>
      <c r="W12" s="381"/>
      <c r="X12" s="25"/>
      <c r="Y12" s="25"/>
    </row>
    <row r="13" spans="2:25" s="41" customFormat="1" ht="19" x14ac:dyDescent="0.2">
      <c r="B13" s="10"/>
      <c r="C13" s="428" t="s">
        <v>50</v>
      </c>
      <c r="D13" s="429"/>
      <c r="E13" s="429"/>
      <c r="F13" s="405"/>
      <c r="G13" s="405"/>
      <c r="H13" s="405"/>
      <c r="I13" s="405"/>
      <c r="J13" s="405"/>
      <c r="K13" s="405"/>
      <c r="L13" s="405"/>
      <c r="M13" s="405"/>
      <c r="N13" s="406"/>
      <c r="O13" s="31"/>
      <c r="Q13" s="381"/>
      <c r="R13" s="381"/>
      <c r="S13" s="381"/>
      <c r="T13" s="381"/>
      <c r="U13" s="381"/>
      <c r="V13" s="381"/>
      <c r="W13" s="381"/>
      <c r="X13" s="25"/>
      <c r="Y13" s="25"/>
    </row>
    <row r="14" spans="2:25" s="41" customFormat="1" ht="32.25" customHeight="1" thickBot="1" x14ac:dyDescent="0.25">
      <c r="B14" s="10"/>
      <c r="C14" s="430" t="s">
        <v>60</v>
      </c>
      <c r="D14" s="431"/>
      <c r="E14" s="431"/>
      <c r="F14" s="382"/>
      <c r="G14" s="382"/>
      <c r="H14" s="382"/>
      <c r="I14" s="382"/>
      <c r="J14" s="382"/>
      <c r="K14" s="382"/>
      <c r="L14" s="382"/>
      <c r="M14" s="382"/>
      <c r="N14" s="383"/>
      <c r="O14" s="31"/>
      <c r="Q14" s="381"/>
      <c r="R14" s="381"/>
      <c r="S14" s="381"/>
      <c r="T14" s="381"/>
      <c r="U14" s="381"/>
      <c r="V14" s="381"/>
      <c r="W14" s="381"/>
      <c r="X14" s="381"/>
      <c r="Y14" s="381"/>
    </row>
    <row r="15" spans="2:25" ht="45.75" customHeight="1" thickBot="1" x14ac:dyDescent="0.25">
      <c r="B15" s="36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1"/>
      <c r="Q15" s="381"/>
      <c r="R15" s="381"/>
      <c r="S15" s="381"/>
      <c r="T15" s="381"/>
      <c r="U15" s="381"/>
      <c r="V15" s="381"/>
      <c r="W15" s="381"/>
      <c r="X15" s="381"/>
      <c r="Y15" s="381"/>
    </row>
    <row r="16" spans="2:25" ht="18.75" customHeight="1" thickBot="1" x14ac:dyDescent="0.25">
      <c r="B16" s="36"/>
      <c r="C16" s="356" t="s">
        <v>135</v>
      </c>
      <c r="D16" s="357"/>
      <c r="E16" s="357"/>
      <c r="F16" s="357"/>
      <c r="G16" s="357"/>
      <c r="H16" s="280" t="s">
        <v>74</v>
      </c>
      <c r="I16" s="113"/>
      <c r="J16" s="280" t="s">
        <v>35</v>
      </c>
      <c r="K16" s="113"/>
      <c r="L16" s="30"/>
      <c r="M16" s="30"/>
      <c r="N16" s="30"/>
      <c r="O16" s="31"/>
      <c r="Q16" s="164"/>
      <c r="R16" s="120"/>
      <c r="S16" s="120"/>
      <c r="T16" s="120"/>
      <c r="U16" s="120"/>
      <c r="V16" s="120"/>
      <c r="W16" s="120"/>
      <c r="X16" s="120"/>
      <c r="Y16" s="120"/>
    </row>
    <row r="17" spans="2:25" ht="7.5" customHeight="1" thickBot="1" x14ac:dyDescent="0.25">
      <c r="B17" s="36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1"/>
      <c r="Q17" s="120"/>
      <c r="R17" s="120"/>
      <c r="S17" s="120"/>
      <c r="T17" s="120"/>
      <c r="U17" s="120"/>
      <c r="V17" s="120"/>
      <c r="W17" s="120"/>
      <c r="X17" s="120"/>
      <c r="Y17" s="120"/>
    </row>
    <row r="18" spans="2:25" ht="17" customHeight="1" thickBot="1" x14ac:dyDescent="0.25">
      <c r="B18" s="36"/>
      <c r="C18" s="399" t="s">
        <v>180</v>
      </c>
      <c r="D18" s="411"/>
      <c r="E18" s="411"/>
      <c r="F18" s="411"/>
      <c r="G18" s="400"/>
      <c r="H18" s="412"/>
      <c r="I18" s="412"/>
      <c r="J18" s="412"/>
      <c r="K18" s="413"/>
      <c r="L18" s="30"/>
      <c r="M18" s="30"/>
      <c r="N18" s="30"/>
      <c r="O18" s="31"/>
      <c r="Q18" s="354"/>
      <c r="R18" s="354"/>
      <c r="S18" s="354"/>
      <c r="T18" s="354"/>
      <c r="U18" s="354"/>
      <c r="V18" s="354"/>
      <c r="W18" s="354"/>
      <c r="X18" s="354"/>
      <c r="Y18" s="354"/>
    </row>
    <row r="19" spans="2:25" ht="7.5" customHeight="1" thickBot="1" x14ac:dyDescent="0.25">
      <c r="B19" s="36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1"/>
      <c r="Q19" s="354"/>
      <c r="R19" s="354"/>
      <c r="S19" s="354"/>
      <c r="T19" s="354"/>
      <c r="U19" s="354"/>
      <c r="V19" s="354"/>
      <c r="W19" s="354"/>
      <c r="X19" s="354"/>
      <c r="Y19" s="354"/>
    </row>
    <row r="20" spans="2:25" ht="17.5" customHeight="1" thickBot="1" x14ac:dyDescent="0.25">
      <c r="B20" s="36"/>
      <c r="C20" s="399" t="s">
        <v>181</v>
      </c>
      <c r="D20" s="411"/>
      <c r="E20" s="411"/>
      <c r="F20" s="411"/>
      <c r="G20" s="400"/>
      <c r="H20" s="412"/>
      <c r="I20" s="412"/>
      <c r="J20" s="412"/>
      <c r="K20" s="413"/>
      <c r="L20" s="30"/>
      <c r="M20" s="30"/>
      <c r="N20" s="30"/>
      <c r="O20" s="31"/>
      <c r="Q20" s="354"/>
      <c r="R20" s="354"/>
      <c r="S20" s="354"/>
      <c r="T20" s="354"/>
      <c r="U20" s="354"/>
      <c r="V20" s="354"/>
      <c r="W20" s="354"/>
      <c r="X20" s="354"/>
      <c r="Y20" s="354"/>
    </row>
    <row r="21" spans="2:25" ht="7.5" customHeight="1" thickBot="1" x14ac:dyDescent="0.25">
      <c r="B21" s="36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1"/>
      <c r="Q21" s="354"/>
      <c r="R21" s="354"/>
      <c r="S21" s="354"/>
      <c r="T21" s="354"/>
      <c r="U21" s="354"/>
      <c r="V21" s="354"/>
      <c r="W21" s="354"/>
      <c r="X21" s="354"/>
      <c r="Y21" s="354"/>
    </row>
    <row r="22" spans="2:25" ht="20" thickBot="1" x14ac:dyDescent="0.25">
      <c r="B22" s="36"/>
      <c r="C22" s="399" t="s">
        <v>182</v>
      </c>
      <c r="D22" s="411"/>
      <c r="E22" s="411"/>
      <c r="F22" s="411"/>
      <c r="G22" s="400"/>
      <c r="H22" s="412"/>
      <c r="I22" s="412"/>
      <c r="J22" s="412"/>
      <c r="K22" s="413"/>
      <c r="L22" s="30"/>
      <c r="M22" s="30"/>
      <c r="N22" s="30"/>
      <c r="O22" s="31"/>
      <c r="Q22" s="354"/>
      <c r="R22" s="354"/>
      <c r="S22" s="354"/>
      <c r="T22" s="354"/>
      <c r="U22" s="354"/>
      <c r="V22" s="354"/>
      <c r="W22" s="354"/>
      <c r="X22" s="354"/>
      <c r="Y22" s="354"/>
    </row>
    <row r="23" spans="2:25" ht="7.5" customHeight="1" thickBot="1" x14ac:dyDescent="0.25">
      <c r="B23" s="36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1"/>
      <c r="Q23" s="354"/>
      <c r="R23" s="354"/>
      <c r="S23" s="354"/>
      <c r="T23" s="354"/>
      <c r="U23" s="354"/>
      <c r="V23" s="354"/>
      <c r="W23" s="354"/>
      <c r="X23" s="354"/>
      <c r="Y23" s="354"/>
    </row>
    <row r="24" spans="2:25" ht="20" thickBot="1" x14ac:dyDescent="0.25">
      <c r="B24" s="36"/>
      <c r="C24" s="399" t="s">
        <v>183</v>
      </c>
      <c r="D24" s="411"/>
      <c r="E24" s="411"/>
      <c r="F24" s="411"/>
      <c r="G24" s="400"/>
      <c r="H24" s="412"/>
      <c r="I24" s="412"/>
      <c r="J24" s="412"/>
      <c r="K24" s="413"/>
      <c r="L24" s="30"/>
      <c r="M24" s="30"/>
      <c r="N24" s="30"/>
      <c r="O24" s="31"/>
      <c r="Q24" s="354"/>
      <c r="R24" s="354"/>
      <c r="S24" s="354"/>
      <c r="T24" s="354"/>
      <c r="U24" s="354"/>
      <c r="V24" s="354"/>
      <c r="W24" s="354"/>
      <c r="X24" s="354"/>
      <c r="Y24" s="354"/>
    </row>
    <row r="25" spans="2:25" ht="6" customHeight="1" thickBot="1" x14ac:dyDescent="0.25">
      <c r="B25" s="36"/>
      <c r="C25" s="154"/>
      <c r="D25" s="154"/>
      <c r="E25" s="154"/>
      <c r="F25" s="154"/>
      <c r="G25" s="154"/>
      <c r="H25" s="5"/>
      <c r="I25" s="5"/>
      <c r="J25" s="5"/>
      <c r="K25" s="5"/>
      <c r="L25" s="4"/>
      <c r="M25" s="4"/>
      <c r="N25" s="4"/>
      <c r="O25" s="31"/>
      <c r="Q25" s="120"/>
      <c r="R25" s="120"/>
      <c r="S25" s="120"/>
      <c r="T25" s="120"/>
      <c r="U25" s="120"/>
      <c r="V25" s="120"/>
      <c r="W25" s="120"/>
      <c r="X25" s="27"/>
      <c r="Y25" s="27"/>
    </row>
    <row r="26" spans="2:25" ht="20" thickBot="1" x14ac:dyDescent="0.25">
      <c r="B26" s="36"/>
      <c r="C26" s="356" t="s">
        <v>134</v>
      </c>
      <c r="D26" s="357"/>
      <c r="E26" s="357"/>
      <c r="F26" s="357"/>
      <c r="G26" s="357"/>
      <c r="H26" s="358"/>
      <c r="I26" s="358"/>
      <c r="J26" s="358"/>
      <c r="K26" s="359"/>
      <c r="L26" s="4"/>
      <c r="M26" s="4"/>
      <c r="N26" s="4"/>
      <c r="O26" s="31"/>
      <c r="Q26" s="120"/>
      <c r="R26" s="120"/>
      <c r="S26" s="120"/>
      <c r="T26" s="120"/>
      <c r="U26" s="120"/>
      <c r="V26" s="120"/>
      <c r="W26" s="120"/>
      <c r="X26" s="27"/>
      <c r="Y26" s="27"/>
    </row>
    <row r="27" spans="2:25" ht="44" customHeight="1" thickBot="1" x14ac:dyDescent="0.25">
      <c r="B27" s="36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31"/>
      <c r="Q27" s="355"/>
      <c r="R27" s="355"/>
      <c r="S27" s="355"/>
      <c r="T27" s="355"/>
      <c r="U27" s="355"/>
      <c r="V27" s="355"/>
      <c r="W27" s="355"/>
      <c r="X27" s="27"/>
      <c r="Y27" s="27"/>
    </row>
    <row r="28" spans="2:25" ht="20" thickBot="1" x14ac:dyDescent="0.25">
      <c r="B28" s="36"/>
      <c r="C28" s="399" t="s">
        <v>47</v>
      </c>
      <c r="D28" s="400"/>
      <c r="E28" s="386"/>
      <c r="F28" s="387"/>
      <c r="G28" s="387"/>
      <c r="H28" s="387"/>
      <c r="I28" s="387"/>
      <c r="J28" s="387"/>
      <c r="K28" s="387"/>
      <c r="L28" s="387"/>
      <c r="M28" s="387"/>
      <c r="N28" s="388"/>
      <c r="O28" s="31"/>
      <c r="Q28" s="355"/>
      <c r="R28" s="355"/>
      <c r="S28" s="355"/>
      <c r="T28" s="355"/>
      <c r="U28" s="355"/>
      <c r="V28" s="355"/>
      <c r="W28" s="355"/>
      <c r="X28" s="355"/>
      <c r="Y28" s="355"/>
    </row>
    <row r="29" spans="2:25" ht="6" customHeight="1" thickBot="1" x14ac:dyDescent="0.25">
      <c r="B29" s="36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31"/>
      <c r="Q29" s="124"/>
      <c r="R29" s="124"/>
      <c r="S29" s="124"/>
      <c r="T29" s="124"/>
      <c r="U29" s="124"/>
      <c r="V29" s="28"/>
      <c r="W29" s="28"/>
      <c r="X29" s="27"/>
      <c r="Y29" s="27"/>
    </row>
    <row r="30" spans="2:25" ht="20" thickBot="1" x14ac:dyDescent="0.25">
      <c r="B30" s="36"/>
      <c r="C30" s="399" t="s">
        <v>61</v>
      </c>
      <c r="D30" s="400"/>
      <c r="E30" s="378"/>
      <c r="F30" s="379"/>
      <c r="G30" s="380"/>
      <c r="H30" s="23"/>
      <c r="I30" s="399" t="s">
        <v>62</v>
      </c>
      <c r="J30" s="400"/>
      <c r="K30" s="378"/>
      <c r="L30" s="379"/>
      <c r="M30" s="379"/>
      <c r="N30" s="380"/>
      <c r="O30" s="31"/>
      <c r="Q30" s="355"/>
      <c r="R30" s="355"/>
      <c r="S30" s="355"/>
      <c r="T30" s="355"/>
      <c r="U30" s="355"/>
      <c r="V30" s="355"/>
      <c r="W30" s="355"/>
      <c r="X30" s="355"/>
      <c r="Y30" s="355"/>
    </row>
    <row r="31" spans="2:25" ht="6" customHeight="1" thickBot="1" x14ac:dyDescent="0.25">
      <c r="B31" s="36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31"/>
      <c r="Q31" s="124"/>
      <c r="R31" s="124"/>
      <c r="S31" s="124"/>
      <c r="T31" s="124"/>
      <c r="U31" s="124"/>
      <c r="V31" s="28"/>
      <c r="W31" s="28"/>
      <c r="X31" s="27"/>
      <c r="Y31" s="27"/>
    </row>
    <row r="32" spans="2:25" ht="20" thickBot="1" x14ac:dyDescent="0.25">
      <c r="B32" s="36"/>
      <c r="C32" s="376" t="s">
        <v>48</v>
      </c>
      <c r="D32" s="377"/>
      <c r="E32" s="377"/>
      <c r="F32" s="377"/>
      <c r="G32" s="377"/>
      <c r="H32" s="373"/>
      <c r="I32" s="374"/>
      <c r="J32" s="374"/>
      <c r="K32" s="375"/>
      <c r="L32" s="4"/>
      <c r="M32" s="390" t="str">
        <f>IF(N34&gt;E34,"Error - el total de casos no puede ser mayor al de expuestos"," ")</f>
        <v xml:space="preserve"> </v>
      </c>
      <c r="N32" s="390"/>
      <c r="O32" s="31"/>
      <c r="Q32" s="389"/>
      <c r="R32" s="389"/>
      <c r="S32" s="389"/>
      <c r="T32" s="389"/>
      <c r="U32" s="389"/>
      <c r="V32" s="389"/>
      <c r="W32" s="389"/>
      <c r="X32" s="389"/>
      <c r="Y32" s="389"/>
    </row>
    <row r="33" spans="2:26" ht="30.75" customHeight="1" thickBot="1" x14ac:dyDescent="0.25">
      <c r="B33" s="36"/>
      <c r="C33" s="3"/>
      <c r="D33" s="4"/>
      <c r="E33" s="4"/>
      <c r="F33" s="4"/>
      <c r="G33" s="4"/>
      <c r="H33" s="4"/>
      <c r="I33" s="4"/>
      <c r="J33" s="4"/>
      <c r="K33" s="4"/>
      <c r="L33" s="4"/>
      <c r="M33" s="391"/>
      <c r="N33" s="391"/>
      <c r="O33" s="31"/>
      <c r="Q33" s="27"/>
      <c r="R33" s="27"/>
      <c r="S33" s="27"/>
      <c r="T33" s="27"/>
      <c r="U33" s="27"/>
      <c r="V33" s="27"/>
      <c r="W33" s="27"/>
      <c r="X33" s="27"/>
      <c r="Y33" s="27"/>
    </row>
    <row r="34" spans="2:26" ht="30.75" customHeight="1" thickBot="1" x14ac:dyDescent="0.25">
      <c r="B34" s="36"/>
      <c r="C34" s="360" t="s">
        <v>106</v>
      </c>
      <c r="D34" s="362"/>
      <c r="E34" s="84"/>
      <c r="F34" s="115"/>
      <c r="G34" s="121" t="s">
        <v>150</v>
      </c>
      <c r="H34" s="84"/>
      <c r="I34" s="115"/>
      <c r="J34" s="121" t="s">
        <v>151</v>
      </c>
      <c r="K34" s="84"/>
      <c r="L34" s="115"/>
      <c r="M34" s="116" t="s">
        <v>152</v>
      </c>
      <c r="N34" s="281">
        <f>H34+K34</f>
        <v>0</v>
      </c>
      <c r="O34" s="31"/>
      <c r="Q34" s="27"/>
      <c r="R34" s="27"/>
      <c r="S34" s="27"/>
      <c r="T34" s="27"/>
      <c r="U34" s="27"/>
      <c r="V34" s="27"/>
      <c r="W34" s="27"/>
      <c r="X34" s="27"/>
      <c r="Y34" s="27"/>
    </row>
    <row r="35" spans="2:26" ht="9.75" customHeight="1" x14ac:dyDescent="0.2">
      <c r="B35" s="36"/>
      <c r="C35" s="154"/>
      <c r="D35" s="115"/>
      <c r="E35" s="115"/>
      <c r="F35" s="4"/>
      <c r="G35" s="115"/>
      <c r="H35" s="115"/>
      <c r="I35" s="115"/>
      <c r="J35" s="115"/>
      <c r="K35" s="115"/>
      <c r="L35" s="115"/>
      <c r="M35" s="115"/>
      <c r="N35" s="115"/>
      <c r="O35" s="31"/>
      <c r="Q35" s="27"/>
      <c r="R35" s="27"/>
      <c r="S35" s="27"/>
      <c r="T35" s="27"/>
      <c r="U35" s="27"/>
      <c r="V35" s="27"/>
      <c r="W35" s="27"/>
      <c r="X35" s="27"/>
      <c r="Y35" s="27"/>
    </row>
    <row r="36" spans="2:26" ht="19" x14ac:dyDescent="0.2">
      <c r="B36" s="36"/>
      <c r="C36" s="392" t="str">
        <f>IF((E38+H38)=$N$34," ","Error - la suma de casos vivos y muertos debe ser igual al total de casos")</f>
        <v xml:space="preserve"> </v>
      </c>
      <c r="D36" s="392"/>
      <c r="E36" s="392"/>
      <c r="F36" s="392"/>
      <c r="G36" s="392"/>
      <c r="H36" s="392"/>
      <c r="I36" s="115"/>
      <c r="J36" s="452" t="str">
        <f>IF((K38+N38)=$N$34," ","Error - la suma de casos hospitalizados y ambu. debe ser igual al total casos")</f>
        <v xml:space="preserve"> </v>
      </c>
      <c r="K36" s="452"/>
      <c r="L36" s="452"/>
      <c r="M36" s="452"/>
      <c r="N36" s="452"/>
      <c r="O36" s="162"/>
      <c r="Q36" s="27"/>
      <c r="R36" s="27"/>
      <c r="S36" s="27"/>
      <c r="T36" s="27"/>
      <c r="U36" s="27"/>
      <c r="V36" s="27"/>
      <c r="W36" s="27"/>
      <c r="X36" s="27"/>
      <c r="Y36" s="27"/>
    </row>
    <row r="37" spans="2:26" ht="12.75" customHeight="1" thickBot="1" x14ac:dyDescent="0.25">
      <c r="B37" s="36"/>
      <c r="C37" s="154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31"/>
      <c r="Q37" s="27"/>
      <c r="R37" s="27"/>
      <c r="S37" s="27"/>
      <c r="T37" s="27"/>
      <c r="U37" s="27"/>
      <c r="V37" s="27"/>
      <c r="W37" s="27"/>
      <c r="X37" s="27"/>
      <c r="Y37" s="27"/>
    </row>
    <row r="38" spans="2:26" ht="32.25" customHeight="1" thickBot="1" x14ac:dyDescent="0.25">
      <c r="B38" s="36"/>
      <c r="C38" s="399" t="s">
        <v>107</v>
      </c>
      <c r="D38" s="400"/>
      <c r="E38" s="84"/>
      <c r="F38" s="115"/>
      <c r="G38" s="121" t="s">
        <v>108</v>
      </c>
      <c r="H38" s="84"/>
      <c r="I38" s="115"/>
      <c r="J38" s="119" t="s">
        <v>109</v>
      </c>
      <c r="K38" s="84"/>
      <c r="L38" s="155"/>
      <c r="M38" s="121" t="s">
        <v>178</v>
      </c>
      <c r="N38" s="84"/>
      <c r="O38" s="31"/>
      <c r="Q38" s="27"/>
      <c r="R38" s="27"/>
      <c r="S38" s="27"/>
      <c r="T38" s="27"/>
      <c r="U38" s="27"/>
      <c r="V38" s="27"/>
      <c r="W38" s="27"/>
      <c r="X38" s="27"/>
      <c r="Y38" s="27"/>
    </row>
    <row r="39" spans="2:26" ht="45.75" customHeight="1" thickBot="1" x14ac:dyDescent="0.25">
      <c r="B39" s="36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31"/>
      <c r="Q39" s="27"/>
      <c r="R39" s="27"/>
      <c r="S39" s="27"/>
      <c r="T39" s="27"/>
      <c r="U39" s="27"/>
      <c r="V39" s="27"/>
      <c r="W39" s="27"/>
      <c r="X39" s="27"/>
      <c r="Y39" s="27"/>
    </row>
    <row r="40" spans="2:26" ht="67.5" customHeight="1" thickBot="1" x14ac:dyDescent="0.25">
      <c r="B40" s="36"/>
      <c r="C40" s="360" t="s">
        <v>104</v>
      </c>
      <c r="D40" s="361"/>
      <c r="E40" s="362"/>
      <c r="F40" s="425"/>
      <c r="G40" s="426"/>
      <c r="H40" s="426"/>
      <c r="I40" s="426"/>
      <c r="J40" s="426"/>
      <c r="K40" s="426"/>
      <c r="L40" s="426"/>
      <c r="M40" s="426"/>
      <c r="N40" s="427"/>
      <c r="O40" s="31"/>
      <c r="Q40" s="27"/>
      <c r="R40" s="27"/>
      <c r="S40" s="27"/>
      <c r="T40" s="27"/>
      <c r="U40" s="27"/>
      <c r="V40" s="27"/>
      <c r="W40" s="27"/>
      <c r="X40" s="27"/>
      <c r="Y40" s="27"/>
    </row>
    <row r="41" spans="2:26" ht="7.5" customHeight="1" thickBot="1" x14ac:dyDescent="0.25">
      <c r="B41" s="36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31"/>
      <c r="Q41" s="29"/>
      <c r="R41" s="29"/>
      <c r="S41" s="29"/>
      <c r="T41" s="29"/>
      <c r="U41" s="29"/>
      <c r="V41" s="29"/>
      <c r="W41" s="29"/>
      <c r="X41" s="29"/>
      <c r="Y41" s="29"/>
      <c r="Z41" s="26"/>
    </row>
    <row r="42" spans="2:26" ht="60.75" customHeight="1" thickBot="1" x14ac:dyDescent="0.25">
      <c r="B42" s="36"/>
      <c r="C42" s="356" t="s">
        <v>44</v>
      </c>
      <c r="D42" s="357"/>
      <c r="E42" s="357"/>
      <c r="F42" s="425"/>
      <c r="G42" s="426"/>
      <c r="H42" s="426"/>
      <c r="I42" s="426"/>
      <c r="J42" s="426"/>
      <c r="K42" s="426"/>
      <c r="L42" s="426"/>
      <c r="M42" s="426"/>
      <c r="N42" s="427"/>
      <c r="O42" s="31"/>
      <c r="Q42" s="29"/>
      <c r="R42" s="29"/>
      <c r="S42" s="29"/>
      <c r="T42" s="29"/>
      <c r="U42" s="29"/>
      <c r="V42" s="29"/>
      <c r="W42" s="29"/>
      <c r="X42" s="29"/>
      <c r="Y42" s="29"/>
      <c r="Z42" s="26"/>
    </row>
    <row r="43" spans="2:26" ht="45.75" customHeight="1" thickBot="1" x14ac:dyDescent="0.25">
      <c r="B43" s="36"/>
      <c r="C43" s="154"/>
      <c r="D43" s="154"/>
      <c r="E43" s="154"/>
      <c r="F43" s="24"/>
      <c r="G43" s="24"/>
      <c r="H43" s="24"/>
      <c r="I43" s="24"/>
      <c r="J43" s="24"/>
      <c r="K43" s="24"/>
      <c r="L43" s="24"/>
      <c r="M43" s="24"/>
      <c r="N43" s="24"/>
      <c r="O43" s="31"/>
      <c r="Q43" s="27"/>
      <c r="R43" s="27"/>
      <c r="S43" s="27"/>
      <c r="T43" s="27"/>
      <c r="U43" s="27"/>
      <c r="V43" s="27"/>
      <c r="W43" s="27"/>
      <c r="X43" s="27"/>
      <c r="Y43" s="27"/>
    </row>
    <row r="44" spans="2:26" ht="183" customHeight="1" x14ac:dyDescent="0.2">
      <c r="B44" s="36"/>
      <c r="C44" s="365" t="s">
        <v>66</v>
      </c>
      <c r="D44" s="366"/>
      <c r="E44" s="369"/>
      <c r="F44" s="369"/>
      <c r="G44" s="369"/>
      <c r="H44" s="369"/>
      <c r="I44" s="369"/>
      <c r="J44" s="369"/>
      <c r="K44" s="369"/>
      <c r="L44" s="369"/>
      <c r="M44" s="369"/>
      <c r="N44" s="370"/>
      <c r="O44" s="31"/>
    </row>
    <row r="45" spans="2:26" ht="183" customHeight="1" thickBot="1" x14ac:dyDescent="0.25">
      <c r="B45" s="36"/>
      <c r="C45" s="367"/>
      <c r="D45" s="368"/>
      <c r="E45" s="371"/>
      <c r="F45" s="371"/>
      <c r="G45" s="371"/>
      <c r="H45" s="371"/>
      <c r="I45" s="371"/>
      <c r="J45" s="371"/>
      <c r="K45" s="371"/>
      <c r="L45" s="371"/>
      <c r="M45" s="371"/>
      <c r="N45" s="372"/>
      <c r="O45" s="31"/>
    </row>
    <row r="46" spans="2:26" ht="6.75" customHeight="1" thickBot="1" x14ac:dyDescent="0.25">
      <c r="B46" s="36"/>
      <c r="C46" s="154"/>
      <c r="D46" s="15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31"/>
    </row>
    <row r="47" spans="2:26" ht="105.75" customHeight="1" thickBot="1" x14ac:dyDescent="0.25">
      <c r="B47" s="36"/>
      <c r="C47" s="360" t="s">
        <v>110</v>
      </c>
      <c r="D47" s="416"/>
      <c r="E47" s="425"/>
      <c r="F47" s="426"/>
      <c r="G47" s="426"/>
      <c r="H47" s="426"/>
      <c r="I47" s="426"/>
      <c r="J47" s="426"/>
      <c r="K47" s="426"/>
      <c r="L47" s="426"/>
      <c r="M47" s="426"/>
      <c r="N47" s="427"/>
      <c r="O47" s="31"/>
    </row>
    <row r="48" spans="2:26" ht="6" customHeight="1" thickBot="1" x14ac:dyDescent="0.25">
      <c r="B48" s="36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31"/>
    </row>
    <row r="49" spans="2:23" ht="93.75" customHeight="1" thickBot="1" x14ac:dyDescent="0.25">
      <c r="B49" s="36"/>
      <c r="C49" s="376" t="s">
        <v>45</v>
      </c>
      <c r="D49" s="377"/>
      <c r="E49" s="425"/>
      <c r="F49" s="426"/>
      <c r="G49" s="426"/>
      <c r="H49" s="426"/>
      <c r="I49" s="426"/>
      <c r="J49" s="426"/>
      <c r="K49" s="426"/>
      <c r="L49" s="426"/>
      <c r="M49" s="426"/>
      <c r="N49" s="427"/>
      <c r="O49" s="31"/>
    </row>
    <row r="50" spans="2:23" ht="6.75" customHeight="1" thickBot="1" x14ac:dyDescent="0.25">
      <c r="B50" s="36"/>
      <c r="C50" s="155"/>
      <c r="D50" s="155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31"/>
    </row>
    <row r="51" spans="2:23" ht="93.75" customHeight="1" thickBot="1" x14ac:dyDescent="0.25">
      <c r="B51" s="36"/>
      <c r="C51" s="376" t="s">
        <v>63</v>
      </c>
      <c r="D51" s="377"/>
      <c r="E51" s="425"/>
      <c r="F51" s="426"/>
      <c r="G51" s="426"/>
      <c r="H51" s="426"/>
      <c r="I51" s="426"/>
      <c r="J51" s="426"/>
      <c r="K51" s="426"/>
      <c r="L51" s="426"/>
      <c r="M51" s="426"/>
      <c r="N51" s="427"/>
      <c r="O51" s="31"/>
      <c r="Q51" s="290"/>
      <c r="R51" s="290"/>
      <c r="S51" s="290"/>
      <c r="T51" s="290"/>
      <c r="U51" s="290"/>
      <c r="V51" s="290"/>
      <c r="W51" s="290"/>
    </row>
    <row r="52" spans="2:23" ht="45.75" customHeight="1" thickBot="1" x14ac:dyDescent="0.25">
      <c r="B52" s="36"/>
      <c r="C52" s="287"/>
      <c r="D52" s="287"/>
      <c r="E52" s="288"/>
      <c r="F52" s="288"/>
      <c r="G52" s="288"/>
      <c r="H52" s="288"/>
      <c r="I52" s="288"/>
      <c r="J52" s="288"/>
      <c r="K52" s="288"/>
      <c r="L52" s="288"/>
      <c r="M52" s="288"/>
      <c r="N52" s="288"/>
      <c r="O52" s="289"/>
      <c r="Q52" s="290"/>
      <c r="R52" s="290"/>
      <c r="S52" s="290"/>
      <c r="T52" s="290"/>
      <c r="U52" s="290"/>
      <c r="V52" s="290"/>
      <c r="W52" s="290"/>
    </row>
    <row r="53" spans="2:23" ht="24.75" customHeight="1" x14ac:dyDescent="0.2">
      <c r="B53" s="36"/>
      <c r="C53" s="421" t="s">
        <v>158</v>
      </c>
      <c r="D53" s="422"/>
      <c r="E53" s="321" t="s">
        <v>153</v>
      </c>
      <c r="F53" s="363"/>
      <c r="G53" s="363"/>
      <c r="H53" s="321" t="s">
        <v>156</v>
      </c>
      <c r="I53" s="363"/>
      <c r="J53" s="364"/>
      <c r="K53" s="288"/>
      <c r="L53" s="288"/>
      <c r="M53" s="288"/>
      <c r="N53" s="288"/>
      <c r="O53" s="289"/>
      <c r="Q53" s="290"/>
      <c r="R53" s="290"/>
      <c r="S53" s="290"/>
      <c r="T53" s="290"/>
      <c r="U53" s="290"/>
      <c r="V53" s="290"/>
      <c r="W53" s="290"/>
    </row>
    <row r="54" spans="2:23" ht="24.75" customHeight="1" thickBot="1" x14ac:dyDescent="0.25">
      <c r="B54" s="36"/>
      <c r="C54" s="423"/>
      <c r="D54" s="424"/>
      <c r="E54" s="322" t="s">
        <v>87</v>
      </c>
      <c r="F54" s="409"/>
      <c r="G54" s="410"/>
      <c r="H54" s="322" t="s">
        <v>157</v>
      </c>
      <c r="I54" s="384"/>
      <c r="J54" s="385"/>
      <c r="K54" s="288"/>
      <c r="L54" s="288"/>
      <c r="M54" s="288"/>
      <c r="N54" s="288"/>
      <c r="O54" s="289"/>
      <c r="Q54" s="290"/>
      <c r="R54" s="290"/>
      <c r="S54" s="290"/>
      <c r="T54" s="290"/>
      <c r="U54" s="290"/>
      <c r="V54" s="290"/>
      <c r="W54" s="290"/>
    </row>
    <row r="55" spans="2:23" ht="9" customHeight="1" thickBot="1" x14ac:dyDescent="0.25">
      <c r="B55" s="36"/>
      <c r="C55" s="287"/>
      <c r="D55" s="287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9"/>
      <c r="P55" s="290"/>
      <c r="Q55" s="290"/>
      <c r="R55" s="290"/>
      <c r="S55" s="290"/>
      <c r="T55" s="290"/>
      <c r="U55" s="290"/>
      <c r="V55" s="290"/>
      <c r="W55" s="290"/>
    </row>
    <row r="56" spans="2:23" ht="53.25" customHeight="1" x14ac:dyDescent="0.2">
      <c r="B56" s="36"/>
      <c r="C56" s="365" t="s">
        <v>168</v>
      </c>
      <c r="D56" s="366"/>
      <c r="E56" s="282" t="s">
        <v>74</v>
      </c>
      <c r="F56" s="345"/>
      <c r="G56" s="118"/>
      <c r="H56" s="417" t="str">
        <f>IF(F56="x","Datos del fabricante y del/los producto/s"," ")</f>
        <v xml:space="preserve"> </v>
      </c>
      <c r="I56" s="418"/>
      <c r="J56" s="443"/>
      <c r="K56" s="443"/>
      <c r="L56" s="443"/>
      <c r="M56" s="443"/>
      <c r="N56" s="444"/>
      <c r="O56" s="31"/>
      <c r="Q56" s="290"/>
      <c r="R56" s="290"/>
      <c r="S56" s="290"/>
      <c r="T56" s="290"/>
      <c r="U56" s="290"/>
      <c r="V56" s="290"/>
      <c r="W56" s="290"/>
    </row>
    <row r="57" spans="2:23" ht="53.25" customHeight="1" thickBot="1" x14ac:dyDescent="0.25">
      <c r="B57" s="36"/>
      <c r="C57" s="367"/>
      <c r="D57" s="368"/>
      <c r="E57" s="286" t="s">
        <v>35</v>
      </c>
      <c r="F57" s="346"/>
      <c r="G57" s="117"/>
      <c r="H57" s="419"/>
      <c r="I57" s="420"/>
      <c r="J57" s="445"/>
      <c r="K57" s="445"/>
      <c r="L57" s="445"/>
      <c r="M57" s="445"/>
      <c r="N57" s="446"/>
      <c r="O57" s="31"/>
      <c r="Q57" s="290"/>
      <c r="R57" s="290"/>
      <c r="S57" s="290"/>
      <c r="T57" s="290"/>
      <c r="U57" s="290"/>
      <c r="V57" s="290"/>
      <c r="W57" s="290"/>
    </row>
    <row r="58" spans="2:23" ht="9.75" customHeight="1" thickBot="1" x14ac:dyDescent="0.25">
      <c r="B58" s="36"/>
      <c r="C58" s="155"/>
      <c r="D58" s="155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31"/>
      <c r="Q58" s="290"/>
      <c r="R58" s="290"/>
      <c r="S58" s="290"/>
      <c r="T58" s="290"/>
      <c r="U58" s="290"/>
      <c r="V58" s="290"/>
      <c r="W58" s="290"/>
    </row>
    <row r="59" spans="2:23" ht="24.75" customHeight="1" x14ac:dyDescent="0.2">
      <c r="B59" s="36"/>
      <c r="C59" s="448" t="s">
        <v>167</v>
      </c>
      <c r="D59" s="449"/>
      <c r="E59" s="282" t="s">
        <v>74</v>
      </c>
      <c r="F59" s="345"/>
      <c r="H59" s="417" t="str">
        <f>IF(F59="x","Cuáles?"," ")</f>
        <v xml:space="preserve"> </v>
      </c>
      <c r="I59" s="418"/>
      <c r="J59" s="403"/>
      <c r="K59" s="403"/>
      <c r="L59" s="403"/>
      <c r="M59" s="403"/>
      <c r="N59" s="404"/>
      <c r="O59" s="31"/>
      <c r="Q59" s="290"/>
      <c r="R59" s="290"/>
      <c r="S59" s="290"/>
      <c r="T59" s="290"/>
      <c r="U59" s="290"/>
      <c r="V59" s="290"/>
      <c r="W59" s="290"/>
    </row>
    <row r="60" spans="2:23" ht="24.75" customHeight="1" thickBot="1" x14ac:dyDescent="0.25">
      <c r="B60" s="36"/>
      <c r="C60" s="450"/>
      <c r="D60" s="451"/>
      <c r="E60" s="283" t="s">
        <v>35</v>
      </c>
      <c r="F60" s="346"/>
      <c r="H60" s="419"/>
      <c r="I60" s="420"/>
      <c r="J60" s="382"/>
      <c r="K60" s="382"/>
      <c r="L60" s="382"/>
      <c r="M60" s="382"/>
      <c r="N60" s="383"/>
      <c r="O60" s="31"/>
      <c r="Q60" s="290"/>
      <c r="R60" s="290"/>
      <c r="S60" s="290"/>
      <c r="T60" s="290"/>
      <c r="U60" s="290"/>
      <c r="V60" s="290"/>
      <c r="W60" s="290"/>
    </row>
    <row r="61" spans="2:23" ht="45.75" customHeight="1" thickBot="1" x14ac:dyDescent="0.25">
      <c r="B61" s="36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31"/>
      <c r="Q61" s="290"/>
      <c r="R61" s="290"/>
      <c r="S61" s="290"/>
      <c r="T61" s="290"/>
      <c r="U61" s="290"/>
      <c r="V61" s="290"/>
      <c r="W61" s="290"/>
    </row>
    <row r="62" spans="2:23" ht="16" x14ac:dyDescent="0.2">
      <c r="B62" s="36"/>
      <c r="C62" s="441" t="s">
        <v>40</v>
      </c>
      <c r="D62" s="442"/>
      <c r="E62" s="442"/>
      <c r="F62" s="442"/>
      <c r="G62" s="442"/>
      <c r="H62" s="438"/>
      <c r="I62" s="439"/>
      <c r="J62" s="439"/>
      <c r="K62" s="439"/>
      <c r="L62" s="439"/>
      <c r="M62" s="439"/>
      <c r="N62" s="440"/>
      <c r="O62" s="31"/>
      <c r="Q62" s="290"/>
      <c r="R62" s="290"/>
      <c r="S62" s="290"/>
      <c r="T62" s="290"/>
      <c r="U62" s="290"/>
      <c r="V62" s="290"/>
      <c r="W62" s="290"/>
    </row>
    <row r="63" spans="2:23" ht="16" x14ac:dyDescent="0.2">
      <c r="B63" s="36"/>
      <c r="C63" s="435" t="s">
        <v>173</v>
      </c>
      <c r="D63" s="436"/>
      <c r="E63" s="436"/>
      <c r="F63" s="436"/>
      <c r="G63" s="437"/>
      <c r="H63" s="342"/>
      <c r="I63" s="343"/>
      <c r="J63" s="343"/>
      <c r="K63" s="343"/>
      <c r="L63" s="343"/>
      <c r="M63" s="343"/>
      <c r="N63" s="344"/>
      <c r="O63" s="31"/>
      <c r="Q63" s="290"/>
      <c r="R63" s="290"/>
      <c r="S63" s="290"/>
      <c r="T63" s="290"/>
      <c r="U63" s="290"/>
      <c r="V63" s="290"/>
      <c r="W63" s="290"/>
    </row>
    <row r="64" spans="2:23" ht="16" x14ac:dyDescent="0.2">
      <c r="B64" s="36"/>
      <c r="C64" s="407" t="s">
        <v>41</v>
      </c>
      <c r="D64" s="408"/>
      <c r="E64" s="408"/>
      <c r="F64" s="408"/>
      <c r="G64" s="408"/>
      <c r="H64" s="405"/>
      <c r="I64" s="405"/>
      <c r="J64" s="405"/>
      <c r="K64" s="405"/>
      <c r="L64" s="405"/>
      <c r="M64" s="405"/>
      <c r="N64" s="406"/>
      <c r="O64" s="31"/>
      <c r="Q64" s="290"/>
      <c r="R64" s="290"/>
      <c r="S64" s="290"/>
      <c r="T64" s="290"/>
      <c r="U64" s="290"/>
      <c r="V64" s="290"/>
      <c r="W64" s="290"/>
    </row>
    <row r="65" spans="2:23" ht="17" thickBot="1" x14ac:dyDescent="0.25">
      <c r="B65" s="36"/>
      <c r="C65" s="414" t="s">
        <v>42</v>
      </c>
      <c r="D65" s="415"/>
      <c r="E65" s="415"/>
      <c r="F65" s="415"/>
      <c r="G65" s="415"/>
      <c r="H65" s="382"/>
      <c r="I65" s="382"/>
      <c r="J65" s="382"/>
      <c r="K65" s="382"/>
      <c r="L65" s="382"/>
      <c r="M65" s="382"/>
      <c r="N65" s="383"/>
      <c r="O65" s="31"/>
      <c r="Q65" s="290"/>
      <c r="R65" s="290"/>
      <c r="S65" s="290"/>
      <c r="T65" s="290"/>
      <c r="U65" s="290"/>
      <c r="V65" s="290"/>
      <c r="W65" s="290"/>
    </row>
    <row r="66" spans="2:23" ht="16" thickBot="1" x14ac:dyDescent="0.25">
      <c r="B66" s="37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9"/>
      <c r="Q66" s="290"/>
      <c r="R66" s="290"/>
      <c r="S66" s="290"/>
      <c r="T66" s="290"/>
      <c r="U66" s="290"/>
      <c r="V66" s="290"/>
      <c r="W66" s="290"/>
    </row>
    <row r="68" spans="2:23" x14ac:dyDescent="0.2">
      <c r="J68" s="447" t="s">
        <v>190</v>
      </c>
      <c r="K68" s="447"/>
      <c r="L68" s="447"/>
      <c r="M68" s="447"/>
      <c r="N68" s="447"/>
      <c r="O68" s="447"/>
    </row>
  </sheetData>
  <sheetProtection insertRows="0" selectLockedCells="1"/>
  <mergeCells count="80">
    <mergeCell ref="H18:K18"/>
    <mergeCell ref="C22:G22"/>
    <mergeCell ref="H22:K22"/>
    <mergeCell ref="C24:G24"/>
    <mergeCell ref="H24:K24"/>
    <mergeCell ref="J68:O68"/>
    <mergeCell ref="C59:D60"/>
    <mergeCell ref="E51:N51"/>
    <mergeCell ref="F40:N40"/>
    <mergeCell ref="J36:N36"/>
    <mergeCell ref="C14:E14"/>
    <mergeCell ref="C30:D30"/>
    <mergeCell ref="E10:L10"/>
    <mergeCell ref="C63:G63"/>
    <mergeCell ref="H62:N62"/>
    <mergeCell ref="E49:N49"/>
    <mergeCell ref="C49:D49"/>
    <mergeCell ref="C62:G62"/>
    <mergeCell ref="H56:I57"/>
    <mergeCell ref="J56:N57"/>
    <mergeCell ref="C18:G18"/>
    <mergeCell ref="I30:J30"/>
    <mergeCell ref="C42:E42"/>
    <mergeCell ref="F42:N42"/>
    <mergeCell ref="Q10:V10"/>
    <mergeCell ref="Q11:W11"/>
    <mergeCell ref="Q12:W12"/>
    <mergeCell ref="Q13:W13"/>
    <mergeCell ref="C16:G16"/>
    <mergeCell ref="C13:E13"/>
    <mergeCell ref="H65:N65"/>
    <mergeCell ref="C65:G65"/>
    <mergeCell ref="C38:D38"/>
    <mergeCell ref="C47:D47"/>
    <mergeCell ref="H59:I60"/>
    <mergeCell ref="C53:D54"/>
    <mergeCell ref="F53:G53"/>
    <mergeCell ref="E47:N47"/>
    <mergeCell ref="C51:D51"/>
    <mergeCell ref="J59:N60"/>
    <mergeCell ref="F12:N12"/>
    <mergeCell ref="F13:N13"/>
    <mergeCell ref="H64:N64"/>
    <mergeCell ref="C64:G64"/>
    <mergeCell ref="F54:G54"/>
    <mergeCell ref="C34:D34"/>
    <mergeCell ref="C56:D57"/>
    <mergeCell ref="K30:N30"/>
    <mergeCell ref="C20:G20"/>
    <mergeCell ref="H20:K20"/>
    <mergeCell ref="C3:N3"/>
    <mergeCell ref="E5:L5"/>
    <mergeCell ref="F9:K9"/>
    <mergeCell ref="M5:M8"/>
    <mergeCell ref="C28:D28"/>
    <mergeCell ref="E6:L6"/>
    <mergeCell ref="E7:L7"/>
    <mergeCell ref="E8:L8"/>
    <mergeCell ref="D5:D8"/>
    <mergeCell ref="C12:E12"/>
    <mergeCell ref="Q14:Y14"/>
    <mergeCell ref="Q15:Y15"/>
    <mergeCell ref="F14:N14"/>
    <mergeCell ref="I54:J54"/>
    <mergeCell ref="Q30:Y30"/>
    <mergeCell ref="E28:N28"/>
    <mergeCell ref="Q27:W27"/>
    <mergeCell ref="Q32:Y32"/>
    <mergeCell ref="M32:N33"/>
    <mergeCell ref="C36:H36"/>
    <mergeCell ref="Q28:Y28"/>
    <mergeCell ref="C26:G26"/>
    <mergeCell ref="H26:K26"/>
    <mergeCell ref="C40:E40"/>
    <mergeCell ref="I53:J53"/>
    <mergeCell ref="C44:D45"/>
    <mergeCell ref="E44:N45"/>
    <mergeCell ref="H32:K32"/>
    <mergeCell ref="C32:G32"/>
    <mergeCell ref="E30:G30"/>
  </mergeCells>
  <pageMargins left="0.39370078740157483" right="0.39370078740157483" top="0.39370078740157483" bottom="0.39370078740157483" header="0.31496062992125984" footer="0.31496062992125984"/>
  <pageSetup scale="60" orientation="portrait" horizontalDpi="200" verticalDpi="2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D15B-D1B9-004B-9F2D-BCAD5A34AE06}">
  <dimension ref="A1:AQ235"/>
  <sheetViews>
    <sheetView topLeftCell="A146" zoomScale="70" zoomScaleNormal="70" workbookViewId="0">
      <selection activeCell="C234" sqref="C234"/>
    </sheetView>
  </sheetViews>
  <sheetFormatPr baseColWidth="10" defaultColWidth="11.5" defaultRowHeight="15" x14ac:dyDescent="0.2"/>
  <cols>
    <col min="1" max="1" width="2.5" style="88" customWidth="1"/>
    <col min="2" max="2" width="3.83203125" style="88" customWidth="1"/>
    <col min="3" max="3" width="17.5" style="88" customWidth="1"/>
    <col min="4" max="4" width="14.33203125" style="88" customWidth="1"/>
    <col min="5" max="5" width="15.1640625" style="88" customWidth="1"/>
    <col min="6" max="6" width="29.33203125" style="88" customWidth="1"/>
    <col min="7" max="7" width="17.33203125" style="88" customWidth="1"/>
    <col min="8" max="8" width="16.83203125" style="88" customWidth="1"/>
    <col min="9" max="9" width="15.33203125" style="88" customWidth="1"/>
    <col min="10" max="10" width="12.6640625" style="88" customWidth="1"/>
    <col min="11" max="11" width="16.1640625" style="88" customWidth="1"/>
    <col min="12" max="12" width="10.5" style="88" customWidth="1"/>
    <col min="13" max="13" width="13.5" style="88" customWidth="1"/>
    <col min="14" max="15" width="12.5" style="88" customWidth="1"/>
    <col min="16" max="16" width="13.33203125" style="88" customWidth="1"/>
    <col min="17" max="17" width="17.1640625" style="88" customWidth="1"/>
    <col min="18" max="18" width="4.5" style="88" customWidth="1"/>
    <col min="19" max="19" width="72.5" style="88" customWidth="1"/>
    <col min="20" max="20" width="15.5" style="88" customWidth="1"/>
    <col min="21" max="21" width="11.5" style="88"/>
    <col min="22" max="22" width="11.5" style="88" customWidth="1"/>
    <col min="23" max="16384" width="11.5" style="88"/>
  </cols>
  <sheetData>
    <row r="1" spans="2:27" ht="15.75" customHeight="1" thickBot="1" x14ac:dyDescent="0.25"/>
    <row r="2" spans="2:27" ht="8.25" customHeight="1" x14ac:dyDescent="0.2"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/>
    </row>
    <row r="3" spans="2:27" ht="24" customHeight="1" x14ac:dyDescent="0.2">
      <c r="B3" s="46"/>
      <c r="C3" s="393" t="s">
        <v>46</v>
      </c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47"/>
    </row>
    <row r="4" spans="2:27" ht="32.25" customHeight="1" thickBot="1" x14ac:dyDescent="0.25"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50"/>
      <c r="O4" s="49"/>
      <c r="P4" s="49"/>
      <c r="Q4" s="49"/>
      <c r="R4" s="47"/>
    </row>
    <row r="5" spans="2:27" s="144" customFormat="1" ht="18.75" customHeight="1" x14ac:dyDescent="0.2">
      <c r="B5" s="51"/>
      <c r="C5" s="52"/>
      <c r="D5" s="563"/>
      <c r="E5" s="678" t="s">
        <v>133</v>
      </c>
      <c r="F5" s="678"/>
      <c r="G5" s="678"/>
      <c r="H5" s="678"/>
      <c r="I5" s="678"/>
      <c r="J5" s="678"/>
      <c r="K5" s="678"/>
      <c r="L5" s="678"/>
      <c r="M5" s="678"/>
      <c r="N5" s="678"/>
      <c r="O5" s="52"/>
      <c r="P5" s="396" t="s">
        <v>52</v>
      </c>
      <c r="Q5" s="92"/>
      <c r="R5" s="53"/>
    </row>
    <row r="6" spans="2:27" s="144" customFormat="1" ht="18.75" customHeight="1" x14ac:dyDescent="0.2">
      <c r="B6" s="54"/>
      <c r="C6" s="55"/>
      <c r="D6" s="563"/>
      <c r="E6" s="401" t="s">
        <v>20</v>
      </c>
      <c r="F6" s="401"/>
      <c r="G6" s="401"/>
      <c r="H6" s="401"/>
      <c r="I6" s="401"/>
      <c r="J6" s="401"/>
      <c r="K6" s="401"/>
      <c r="L6" s="401"/>
      <c r="M6" s="401"/>
      <c r="N6" s="401"/>
      <c r="O6" s="55"/>
      <c r="P6" s="397"/>
      <c r="Q6" s="92"/>
      <c r="R6" s="53"/>
    </row>
    <row r="7" spans="2:27" s="144" customFormat="1" ht="18.75" customHeight="1" x14ac:dyDescent="0.2">
      <c r="B7" s="56"/>
      <c r="C7" s="55"/>
      <c r="D7" s="563"/>
      <c r="E7" s="401" t="s">
        <v>113</v>
      </c>
      <c r="F7" s="401"/>
      <c r="G7" s="401"/>
      <c r="H7" s="401"/>
      <c r="I7" s="401"/>
      <c r="J7" s="401"/>
      <c r="K7" s="401"/>
      <c r="L7" s="401"/>
      <c r="M7" s="401"/>
      <c r="N7" s="401"/>
      <c r="O7" s="55"/>
      <c r="P7" s="397"/>
      <c r="Q7" s="92"/>
      <c r="R7" s="53"/>
    </row>
    <row r="8" spans="2:27" s="144" customFormat="1" ht="19.5" customHeight="1" thickBot="1" x14ac:dyDescent="0.25">
      <c r="B8" s="56"/>
      <c r="C8" s="55"/>
      <c r="D8" s="563"/>
      <c r="E8" s="401" t="s">
        <v>149</v>
      </c>
      <c r="F8" s="401"/>
      <c r="G8" s="401"/>
      <c r="H8" s="401"/>
      <c r="I8" s="401"/>
      <c r="J8" s="401"/>
      <c r="K8" s="401"/>
      <c r="L8" s="401"/>
      <c r="M8" s="401"/>
      <c r="N8" s="401"/>
      <c r="O8" s="55"/>
      <c r="P8" s="398"/>
      <c r="Q8" s="92"/>
      <c r="R8" s="53"/>
      <c r="T8" s="576"/>
      <c r="U8" s="576"/>
      <c r="V8" s="576"/>
    </row>
    <row r="9" spans="2:27" s="144" customFormat="1" ht="19" x14ac:dyDescent="0.2">
      <c r="B9" s="54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50"/>
      <c r="O9" s="92"/>
      <c r="P9" s="92"/>
      <c r="Q9" s="92"/>
      <c r="R9" s="53"/>
      <c r="T9" s="576"/>
      <c r="U9" s="576"/>
      <c r="V9" s="576"/>
    </row>
    <row r="10" spans="2:27" s="144" customFormat="1" ht="19.5" customHeight="1" x14ac:dyDescent="0.2">
      <c r="B10" s="54"/>
      <c r="C10" s="92"/>
      <c r="D10" s="92"/>
      <c r="E10" s="669">
        <f>'Inf. Preliminar'!E10</f>
        <v>0</v>
      </c>
      <c r="F10" s="669"/>
      <c r="G10" s="669"/>
      <c r="H10" s="669"/>
      <c r="I10" s="669"/>
      <c r="J10" s="669"/>
      <c r="K10" s="669"/>
      <c r="L10" s="669"/>
      <c r="M10" s="669"/>
      <c r="N10" s="669"/>
      <c r="O10" s="50"/>
      <c r="P10" s="92"/>
      <c r="Q10" s="92"/>
      <c r="R10" s="53"/>
      <c r="T10" s="577"/>
      <c r="U10" s="577"/>
      <c r="V10" s="577"/>
      <c r="W10" s="577"/>
      <c r="X10" s="577"/>
      <c r="Y10" s="577"/>
      <c r="Z10" s="577"/>
    </row>
    <row r="11" spans="2:27" s="144" customFormat="1" ht="20" thickBot="1" x14ac:dyDescent="0.25">
      <c r="B11" s="54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50"/>
      <c r="P11" s="92"/>
      <c r="Q11" s="92"/>
      <c r="R11" s="53"/>
      <c r="T11" s="546"/>
      <c r="U11" s="546"/>
      <c r="V11" s="546"/>
      <c r="W11" s="546"/>
      <c r="X11" s="546"/>
      <c r="Y11" s="546"/>
      <c r="Z11" s="546"/>
      <c r="AA11" s="57"/>
    </row>
    <row r="12" spans="2:27" s="144" customFormat="1" ht="18.75" customHeight="1" x14ac:dyDescent="0.2">
      <c r="B12" s="54"/>
      <c r="C12" s="549" t="s">
        <v>49</v>
      </c>
      <c r="D12" s="550"/>
      <c r="E12" s="550"/>
      <c r="F12" s="565">
        <f>'Inf. Preliminar'!F12</f>
        <v>0</v>
      </c>
      <c r="G12" s="565"/>
      <c r="H12" s="565"/>
      <c r="I12" s="565"/>
      <c r="J12" s="565"/>
      <c r="K12" s="565"/>
      <c r="L12" s="565"/>
      <c r="M12" s="565"/>
      <c r="N12" s="565"/>
      <c r="O12" s="565"/>
      <c r="P12" s="565"/>
      <c r="Q12" s="566"/>
      <c r="R12" s="53"/>
      <c r="T12" s="546"/>
      <c r="U12" s="546"/>
      <c r="V12" s="546"/>
      <c r="W12" s="546"/>
      <c r="X12" s="145"/>
    </row>
    <row r="13" spans="2:27" s="144" customFormat="1" ht="18.75" customHeight="1" x14ac:dyDescent="0.2">
      <c r="B13" s="54"/>
      <c r="C13" s="570" t="s">
        <v>50</v>
      </c>
      <c r="D13" s="571"/>
      <c r="E13" s="571"/>
      <c r="F13" s="673">
        <f>'Inf. Preliminar'!F13</f>
        <v>0</v>
      </c>
      <c r="G13" s="673"/>
      <c r="H13" s="673"/>
      <c r="I13" s="673"/>
      <c r="J13" s="673"/>
      <c r="K13" s="673"/>
      <c r="L13" s="673"/>
      <c r="M13" s="673"/>
      <c r="N13" s="673"/>
      <c r="O13" s="673"/>
      <c r="P13" s="673"/>
      <c r="Q13" s="674"/>
      <c r="R13" s="53"/>
      <c r="T13" s="546"/>
      <c r="U13" s="546"/>
      <c r="V13" s="546"/>
      <c r="W13" s="546"/>
      <c r="X13" s="546"/>
    </row>
    <row r="14" spans="2:27" s="144" customFormat="1" ht="19.5" customHeight="1" thickBot="1" x14ac:dyDescent="0.25">
      <c r="B14" s="54"/>
      <c r="C14" s="559" t="s">
        <v>51</v>
      </c>
      <c r="D14" s="560"/>
      <c r="E14" s="560"/>
      <c r="F14" s="667">
        <f>'Inf. Preliminar'!F14</f>
        <v>0</v>
      </c>
      <c r="G14" s="667"/>
      <c r="H14" s="667"/>
      <c r="I14" s="667"/>
      <c r="J14" s="667"/>
      <c r="K14" s="667"/>
      <c r="L14" s="667"/>
      <c r="M14" s="667"/>
      <c r="N14" s="667"/>
      <c r="O14" s="667"/>
      <c r="P14" s="667"/>
      <c r="Q14" s="668"/>
      <c r="R14" s="53"/>
      <c r="T14" s="546"/>
      <c r="U14" s="546"/>
      <c r="V14" s="546"/>
      <c r="W14" s="145"/>
      <c r="X14" s="145"/>
    </row>
    <row r="15" spans="2:27" s="144" customFormat="1" ht="27" customHeight="1" thickBot="1" x14ac:dyDescent="0.25">
      <c r="B15" s="54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50"/>
      <c r="P15" s="92"/>
      <c r="Q15" s="92"/>
      <c r="R15" s="53"/>
      <c r="T15" s="546"/>
      <c r="U15" s="546"/>
      <c r="V15" s="546"/>
    </row>
    <row r="16" spans="2:27" s="63" customFormat="1" ht="20" thickBot="1" x14ac:dyDescent="0.25">
      <c r="B16" s="58"/>
      <c r="C16" s="670" t="s">
        <v>184</v>
      </c>
      <c r="D16" s="671"/>
      <c r="E16" s="671"/>
      <c r="F16" s="672"/>
      <c r="G16" s="412"/>
      <c r="H16" s="412"/>
      <c r="I16" s="412"/>
      <c r="J16" s="413"/>
      <c r="K16" s="59"/>
      <c r="L16" s="60"/>
      <c r="M16" s="60"/>
      <c r="N16" s="60"/>
      <c r="O16" s="61"/>
      <c r="P16" s="61"/>
      <c r="Q16" s="92"/>
      <c r="R16" s="62"/>
    </row>
    <row r="17" spans="2:23" s="63" customFormat="1" ht="6" customHeight="1" x14ac:dyDescent="0.2">
      <c r="B17" s="58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61"/>
      <c r="Q17" s="92"/>
      <c r="R17" s="62"/>
    </row>
    <row r="18" spans="2:23" s="63" customFormat="1" ht="6.75" customHeight="1" thickBot="1" x14ac:dyDescent="0.25">
      <c r="B18" s="58"/>
      <c r="C18" s="64"/>
      <c r="D18" s="64"/>
      <c r="E18" s="64"/>
      <c r="F18" s="64"/>
      <c r="G18" s="59"/>
      <c r="H18" s="59"/>
      <c r="I18" s="59"/>
      <c r="J18" s="59"/>
      <c r="K18" s="59"/>
      <c r="L18" s="60"/>
      <c r="M18" s="60"/>
      <c r="N18" s="60"/>
      <c r="O18" s="61"/>
      <c r="P18" s="61"/>
      <c r="Q18" s="92"/>
      <c r="R18" s="62"/>
    </row>
    <row r="19" spans="2:23" s="63" customFormat="1" ht="18.75" customHeight="1" x14ac:dyDescent="0.2">
      <c r="B19" s="58"/>
      <c r="C19" s="643" t="s">
        <v>47</v>
      </c>
      <c r="D19" s="644"/>
      <c r="E19" s="649">
        <f>'Inf. Preliminar'!E28</f>
        <v>0</v>
      </c>
      <c r="F19" s="649"/>
      <c r="G19" s="649"/>
      <c r="H19" s="649"/>
      <c r="I19" s="649"/>
      <c r="J19" s="649"/>
      <c r="K19" s="649"/>
      <c r="L19" s="649"/>
      <c r="M19" s="649"/>
      <c r="N19" s="649"/>
      <c r="O19" s="649"/>
      <c r="P19" s="649"/>
      <c r="Q19" s="650"/>
      <c r="R19" s="62"/>
      <c r="T19" s="65"/>
      <c r="U19" s="65"/>
      <c r="V19" s="65"/>
    </row>
    <row r="20" spans="2:23" s="63" customFormat="1" ht="17" thickBot="1" x14ac:dyDescent="0.25">
      <c r="B20" s="58"/>
      <c r="C20" s="645"/>
      <c r="D20" s="646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2"/>
      <c r="R20" s="62"/>
      <c r="T20" s="65"/>
      <c r="U20" s="65"/>
      <c r="V20" s="65"/>
    </row>
    <row r="21" spans="2:23" s="63" customFormat="1" ht="27" customHeight="1" thickBot="1" x14ac:dyDescent="0.25">
      <c r="B21" s="58"/>
      <c r="C21" s="64"/>
      <c r="D21" s="64"/>
      <c r="E21" s="64"/>
      <c r="F21" s="64"/>
      <c r="G21" s="59"/>
      <c r="H21" s="59"/>
      <c r="I21" s="59"/>
      <c r="J21" s="59"/>
      <c r="K21" s="59"/>
      <c r="L21" s="60"/>
      <c r="M21" s="60"/>
      <c r="N21" s="60"/>
      <c r="O21" s="61"/>
      <c r="P21" s="61"/>
      <c r="Q21" s="92"/>
      <c r="R21" s="62"/>
      <c r="T21" s="65"/>
      <c r="U21" s="65"/>
      <c r="V21" s="65"/>
    </row>
    <row r="22" spans="2:23" s="144" customFormat="1" ht="101.25" customHeight="1" x14ac:dyDescent="0.2">
      <c r="B22" s="54"/>
      <c r="C22" s="549" t="s">
        <v>160</v>
      </c>
      <c r="D22" s="550"/>
      <c r="E22" s="403"/>
      <c r="F22" s="403"/>
      <c r="G22" s="403"/>
      <c r="H22" s="403"/>
      <c r="I22" s="403"/>
      <c r="J22" s="403"/>
      <c r="K22" s="403"/>
      <c r="L22" s="403"/>
      <c r="M22" s="403"/>
      <c r="N22" s="403"/>
      <c r="O22" s="403"/>
      <c r="P22" s="403"/>
      <c r="Q22" s="404"/>
      <c r="R22" s="53"/>
      <c r="T22" s="546"/>
      <c r="U22" s="546"/>
      <c r="V22" s="145"/>
    </row>
    <row r="23" spans="2:23" s="144" customFormat="1" ht="10.5" customHeight="1" thickBot="1" x14ac:dyDescent="0.25">
      <c r="B23" s="54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50"/>
      <c r="P23" s="92"/>
      <c r="Q23" s="92"/>
      <c r="R23" s="53"/>
    </row>
    <row r="24" spans="2:23" s="144" customFormat="1" ht="101.25" customHeight="1" thickBot="1" x14ac:dyDescent="0.25">
      <c r="B24" s="54"/>
      <c r="C24" s="635" t="s">
        <v>105</v>
      </c>
      <c r="D24" s="636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1"/>
      <c r="P24" s="561"/>
      <c r="Q24" s="562"/>
      <c r="R24" s="53"/>
      <c r="T24" s="546"/>
      <c r="U24" s="546"/>
      <c r="V24" s="546"/>
      <c r="W24" s="546"/>
    </row>
    <row r="25" spans="2:23" s="144" customFormat="1" ht="20" thickBot="1" x14ac:dyDescent="0.25">
      <c r="B25" s="54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50"/>
      <c r="P25" s="92"/>
      <c r="Q25" s="92"/>
      <c r="R25" s="53"/>
      <c r="T25" s="546"/>
      <c r="U25" s="546"/>
      <c r="V25" s="546"/>
      <c r="W25" s="546"/>
    </row>
    <row r="26" spans="2:23" s="144" customFormat="1" ht="19.5" customHeight="1" thickBot="1" x14ac:dyDescent="0.25">
      <c r="B26" s="54"/>
      <c r="C26" s="551" t="s">
        <v>53</v>
      </c>
      <c r="D26" s="552"/>
      <c r="E26" s="552"/>
      <c r="F26" s="552"/>
      <c r="G26" s="552"/>
      <c r="H26" s="552"/>
      <c r="I26" s="552"/>
      <c r="J26" s="552"/>
      <c r="K26" s="552"/>
      <c r="L26" s="552"/>
      <c r="M26" s="552"/>
      <c r="N26" s="552"/>
      <c r="O26" s="552"/>
      <c r="P26" s="552"/>
      <c r="Q26" s="553"/>
      <c r="R26" s="53"/>
      <c r="T26" s="546"/>
      <c r="U26" s="546"/>
      <c r="V26" s="546"/>
      <c r="W26" s="546"/>
    </row>
    <row r="27" spans="2:23" s="86" customFormat="1" ht="19" x14ac:dyDescent="0.2">
      <c r="B27" s="54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87"/>
      <c r="T27" s="546"/>
      <c r="U27" s="546"/>
      <c r="V27" s="546"/>
      <c r="W27" s="546"/>
    </row>
    <row r="28" spans="2:23" s="79" customFormat="1" ht="15" customHeight="1" x14ac:dyDescent="0.2">
      <c r="B28" s="66"/>
      <c r="C28" s="481" t="s">
        <v>111</v>
      </c>
      <c r="D28" s="481"/>
      <c r="E28" s="481"/>
      <c r="F28" s="481"/>
      <c r="G28" s="481"/>
      <c r="H28" s="481"/>
      <c r="I28" s="481"/>
      <c r="J28" s="73"/>
      <c r="K28" s="73"/>
      <c r="L28" s="73"/>
      <c r="M28" s="73"/>
      <c r="N28" s="73"/>
      <c r="O28" s="73"/>
      <c r="P28" s="135"/>
      <c r="Q28" s="78"/>
      <c r="R28" s="80"/>
      <c r="T28" s="546"/>
      <c r="U28" s="546"/>
      <c r="V28" s="546"/>
      <c r="W28" s="546"/>
    </row>
    <row r="29" spans="2:23" s="79" customFormat="1" ht="7.5" customHeight="1" thickBot="1" x14ac:dyDescent="0.25">
      <c r="B29" s="165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80"/>
      <c r="T29" s="546"/>
      <c r="U29" s="546"/>
      <c r="V29" s="546"/>
      <c r="W29" s="546"/>
    </row>
    <row r="30" spans="2:23" s="79" customFormat="1" ht="15.75" customHeight="1" x14ac:dyDescent="0.2">
      <c r="B30" s="165"/>
      <c r="C30" s="567" t="s">
        <v>124</v>
      </c>
      <c r="D30" s="460"/>
      <c r="E30" s="460"/>
      <c r="F30" s="460"/>
      <c r="G30" s="568"/>
      <c r="H30" s="569"/>
      <c r="I30" s="166"/>
      <c r="J30" s="501" t="s">
        <v>121</v>
      </c>
      <c r="K30" s="506"/>
      <c r="L30" s="78"/>
      <c r="M30" s="501" t="s">
        <v>122</v>
      </c>
      <c r="N30" s="506"/>
      <c r="O30" s="78"/>
      <c r="P30" s="476" t="str">
        <f>IF(K30&lt;=N30,"","Error - El total de casos NO puede superar el total de expuestos ")</f>
        <v/>
      </c>
      <c r="Q30" s="476"/>
      <c r="R30" s="80"/>
      <c r="T30" s="546"/>
      <c r="U30" s="546"/>
      <c r="V30" s="546"/>
      <c r="W30" s="546"/>
    </row>
    <row r="31" spans="2:23" s="79" customFormat="1" ht="15.75" customHeight="1" thickBot="1" x14ac:dyDescent="0.25">
      <c r="B31" s="165"/>
      <c r="C31" s="508" t="s">
        <v>125</v>
      </c>
      <c r="D31" s="461"/>
      <c r="E31" s="461"/>
      <c r="F31" s="461"/>
      <c r="G31" s="510"/>
      <c r="H31" s="511"/>
      <c r="I31" s="166"/>
      <c r="J31" s="509"/>
      <c r="K31" s="507"/>
      <c r="L31" s="78"/>
      <c r="M31" s="509"/>
      <c r="N31" s="507"/>
      <c r="O31" s="78"/>
      <c r="P31" s="476"/>
      <c r="Q31" s="476"/>
      <c r="R31" s="80"/>
      <c r="T31" s="546"/>
      <c r="U31" s="546"/>
      <c r="V31" s="546"/>
      <c r="W31" s="546"/>
    </row>
    <row r="32" spans="2:23" s="79" customFormat="1" ht="11.25" customHeight="1" thickBot="1" x14ac:dyDescent="0.25">
      <c r="B32" s="165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476"/>
      <c r="Q32" s="476"/>
      <c r="R32" s="80"/>
      <c r="T32" s="546"/>
      <c r="U32" s="546"/>
      <c r="V32" s="546"/>
      <c r="W32" s="546"/>
    </row>
    <row r="33" spans="2:23" s="79" customFormat="1" ht="36" customHeight="1" thickBot="1" x14ac:dyDescent="0.25">
      <c r="B33" s="165"/>
      <c r="C33" s="93" t="s">
        <v>44</v>
      </c>
      <c r="D33" s="512" t="s">
        <v>126</v>
      </c>
      <c r="E33" s="512"/>
      <c r="F33" s="94" t="s">
        <v>114</v>
      </c>
      <c r="G33" s="78"/>
      <c r="H33" s="78"/>
      <c r="I33" s="78"/>
      <c r="J33" s="78"/>
      <c r="K33" s="78"/>
      <c r="L33" s="78"/>
      <c r="M33" s="78"/>
      <c r="N33" s="78"/>
      <c r="O33" s="78"/>
      <c r="P33" s="97"/>
      <c r="Q33" s="78"/>
      <c r="R33" s="80"/>
      <c r="T33" s="546"/>
      <c r="U33" s="546"/>
      <c r="V33" s="546"/>
      <c r="W33" s="546"/>
    </row>
    <row r="34" spans="2:23" s="79" customFormat="1" ht="16" x14ac:dyDescent="0.2">
      <c r="B34" s="165"/>
      <c r="C34" s="337"/>
      <c r="D34" s="403"/>
      <c r="E34" s="403"/>
      <c r="F34" s="91" t="e">
        <f>D34/$K$30</f>
        <v>#DIV/0!</v>
      </c>
      <c r="G34" s="476" t="str">
        <f>IF(D34&gt;$K$30,"Error - recuerde que el número de casos con signos y síntomas no puede ser mayor al total de casos","")</f>
        <v/>
      </c>
      <c r="H34" s="476"/>
      <c r="I34" s="476"/>
      <c r="J34" s="476"/>
      <c r="K34" s="476"/>
      <c r="L34" s="476"/>
      <c r="M34" s="476"/>
      <c r="N34" s="476"/>
      <c r="O34" s="476"/>
      <c r="P34" s="97"/>
      <c r="Q34" s="78"/>
      <c r="R34" s="80"/>
      <c r="T34" s="546"/>
      <c r="U34" s="546"/>
      <c r="V34" s="546"/>
      <c r="W34" s="546"/>
    </row>
    <row r="35" spans="2:23" s="79" customFormat="1" ht="15.75" customHeight="1" x14ac:dyDescent="0.2">
      <c r="B35" s="165"/>
      <c r="C35" s="338"/>
      <c r="D35" s="405"/>
      <c r="E35" s="405"/>
      <c r="F35" s="95" t="e">
        <f t="shared" ref="F35:F43" si="0">D35/$K$30</f>
        <v>#DIV/0!</v>
      </c>
      <c r="G35" s="476" t="str">
        <f>IF(D35&gt;$K$30,"Error - recuerde que el número de casos con signos y síntomas no puede ser mayor al total de casos","")</f>
        <v/>
      </c>
      <c r="H35" s="476"/>
      <c r="I35" s="476"/>
      <c r="J35" s="476"/>
      <c r="K35" s="476"/>
      <c r="L35" s="476"/>
      <c r="M35" s="476"/>
      <c r="N35" s="476"/>
      <c r="O35" s="476"/>
      <c r="P35" s="97"/>
      <c r="Q35" s="78"/>
      <c r="R35" s="80"/>
      <c r="T35" s="546"/>
      <c r="U35" s="546"/>
      <c r="V35" s="546"/>
      <c r="W35" s="546"/>
    </row>
    <row r="36" spans="2:23" s="79" customFormat="1" ht="15.75" customHeight="1" x14ac:dyDescent="0.2">
      <c r="B36" s="165"/>
      <c r="C36" s="338"/>
      <c r="D36" s="405"/>
      <c r="E36" s="405"/>
      <c r="F36" s="95" t="e">
        <f t="shared" si="0"/>
        <v>#DIV/0!</v>
      </c>
      <c r="G36" s="476" t="str">
        <f>IF(D36&gt;$K$30,"Error - recuerde que el número de casos con signos y síntomas no puede ser mayor al total de casos","")</f>
        <v/>
      </c>
      <c r="H36" s="476"/>
      <c r="I36" s="476"/>
      <c r="J36" s="476"/>
      <c r="K36" s="476"/>
      <c r="L36" s="476"/>
      <c r="M36" s="476"/>
      <c r="N36" s="476"/>
      <c r="O36" s="476"/>
      <c r="P36" s="97"/>
      <c r="Q36" s="78"/>
      <c r="R36" s="80"/>
      <c r="T36" s="546"/>
      <c r="U36" s="546"/>
      <c r="V36" s="546"/>
      <c r="W36" s="546"/>
    </row>
    <row r="37" spans="2:23" s="79" customFormat="1" ht="15.75" customHeight="1" x14ac:dyDescent="0.2">
      <c r="B37" s="165"/>
      <c r="C37" s="338"/>
      <c r="D37" s="405"/>
      <c r="E37" s="405"/>
      <c r="F37" s="95" t="e">
        <f t="shared" si="0"/>
        <v>#DIV/0!</v>
      </c>
      <c r="G37" s="476" t="str">
        <f t="shared" ref="G37:G43" si="1">IF(D37&gt;$K$30,"Error - recuerde que el número de casos con signos y síntomas no puede ser mayor al total de casos","")</f>
        <v/>
      </c>
      <c r="H37" s="476"/>
      <c r="I37" s="476"/>
      <c r="J37" s="476"/>
      <c r="K37" s="476"/>
      <c r="L37" s="476"/>
      <c r="M37" s="476"/>
      <c r="N37" s="476"/>
      <c r="O37" s="476"/>
      <c r="P37" s="78"/>
      <c r="Q37" s="78"/>
      <c r="R37" s="80"/>
      <c r="T37" s="546"/>
      <c r="U37" s="546"/>
      <c r="V37" s="546"/>
      <c r="W37" s="546"/>
    </row>
    <row r="38" spans="2:23" s="79" customFormat="1" ht="16" x14ac:dyDescent="0.2">
      <c r="B38" s="165"/>
      <c r="C38" s="338"/>
      <c r="D38" s="405"/>
      <c r="E38" s="405"/>
      <c r="F38" s="95" t="e">
        <f t="shared" si="0"/>
        <v>#DIV/0!</v>
      </c>
      <c r="G38" s="476" t="str">
        <f t="shared" si="1"/>
        <v/>
      </c>
      <c r="H38" s="476"/>
      <c r="I38" s="476"/>
      <c r="J38" s="476"/>
      <c r="K38" s="476"/>
      <c r="L38" s="476"/>
      <c r="M38" s="476"/>
      <c r="N38" s="476"/>
      <c r="O38" s="476"/>
      <c r="P38" s="78"/>
      <c r="Q38" s="78"/>
      <c r="R38" s="80"/>
      <c r="T38" s="546"/>
      <c r="U38" s="546"/>
      <c r="V38" s="546"/>
      <c r="W38" s="546"/>
    </row>
    <row r="39" spans="2:23" s="79" customFormat="1" ht="16" x14ac:dyDescent="0.2">
      <c r="B39" s="165"/>
      <c r="C39" s="338"/>
      <c r="D39" s="405"/>
      <c r="E39" s="405"/>
      <c r="F39" s="95" t="e">
        <f t="shared" si="0"/>
        <v>#DIV/0!</v>
      </c>
      <c r="G39" s="476" t="str">
        <f t="shared" si="1"/>
        <v/>
      </c>
      <c r="H39" s="476"/>
      <c r="I39" s="476"/>
      <c r="J39" s="476"/>
      <c r="K39" s="476"/>
      <c r="L39" s="476"/>
      <c r="M39" s="476"/>
      <c r="N39" s="476"/>
      <c r="O39" s="476"/>
      <c r="P39" s="78"/>
      <c r="Q39" s="78"/>
      <c r="R39" s="80"/>
      <c r="T39" s="546"/>
      <c r="U39" s="546"/>
      <c r="V39" s="546"/>
      <c r="W39" s="546"/>
    </row>
    <row r="40" spans="2:23" s="79" customFormat="1" ht="16" x14ac:dyDescent="0.2">
      <c r="B40" s="165"/>
      <c r="C40" s="338"/>
      <c r="D40" s="405"/>
      <c r="E40" s="405"/>
      <c r="F40" s="95" t="e">
        <f t="shared" si="0"/>
        <v>#DIV/0!</v>
      </c>
      <c r="G40" s="476" t="str">
        <f t="shared" si="1"/>
        <v/>
      </c>
      <c r="H40" s="476"/>
      <c r="I40" s="476"/>
      <c r="J40" s="476"/>
      <c r="K40" s="476"/>
      <c r="L40" s="476"/>
      <c r="M40" s="476"/>
      <c r="N40" s="476"/>
      <c r="O40" s="476"/>
      <c r="P40" s="78"/>
      <c r="Q40" s="78"/>
      <c r="R40" s="80"/>
      <c r="T40" s="546"/>
      <c r="U40" s="546"/>
      <c r="V40" s="546"/>
      <c r="W40" s="546"/>
    </row>
    <row r="41" spans="2:23" s="79" customFormat="1" ht="15.75" customHeight="1" x14ac:dyDescent="0.2">
      <c r="B41" s="165"/>
      <c r="C41" s="338"/>
      <c r="D41" s="405"/>
      <c r="E41" s="405"/>
      <c r="F41" s="95" t="e">
        <f t="shared" si="0"/>
        <v>#DIV/0!</v>
      </c>
      <c r="G41" s="476" t="str">
        <f t="shared" si="1"/>
        <v/>
      </c>
      <c r="H41" s="476"/>
      <c r="I41" s="476"/>
      <c r="J41" s="476"/>
      <c r="K41" s="476"/>
      <c r="L41" s="476"/>
      <c r="M41" s="476"/>
      <c r="N41" s="476"/>
      <c r="O41" s="476"/>
      <c r="P41" s="78"/>
      <c r="Q41" s="78"/>
      <c r="R41" s="80"/>
      <c r="T41" s="546"/>
      <c r="U41" s="546"/>
      <c r="V41" s="546"/>
      <c r="W41" s="546"/>
    </row>
    <row r="42" spans="2:23" s="79" customFormat="1" ht="16" x14ac:dyDescent="0.2">
      <c r="B42" s="165"/>
      <c r="C42" s="338"/>
      <c r="D42" s="405"/>
      <c r="E42" s="405"/>
      <c r="F42" s="95" t="e">
        <f t="shared" si="0"/>
        <v>#DIV/0!</v>
      </c>
      <c r="G42" s="476" t="str">
        <f t="shared" si="1"/>
        <v/>
      </c>
      <c r="H42" s="476"/>
      <c r="I42" s="476"/>
      <c r="J42" s="476"/>
      <c r="K42" s="476"/>
      <c r="L42" s="476"/>
      <c r="M42" s="476"/>
      <c r="N42" s="476"/>
      <c r="O42" s="476"/>
      <c r="P42" s="78"/>
      <c r="Q42" s="78"/>
      <c r="R42" s="80"/>
      <c r="T42" s="546"/>
      <c r="U42" s="546"/>
      <c r="V42" s="546"/>
      <c r="W42" s="546"/>
    </row>
    <row r="43" spans="2:23" s="79" customFormat="1" ht="15.75" customHeight="1" thickBot="1" x14ac:dyDescent="0.25">
      <c r="B43" s="165"/>
      <c r="C43" s="336"/>
      <c r="D43" s="382"/>
      <c r="E43" s="382"/>
      <c r="F43" s="96" t="e">
        <f t="shared" si="0"/>
        <v>#DIV/0!</v>
      </c>
      <c r="G43" s="476" t="str">
        <f t="shared" si="1"/>
        <v/>
      </c>
      <c r="H43" s="476"/>
      <c r="I43" s="476"/>
      <c r="J43" s="476"/>
      <c r="K43" s="476"/>
      <c r="L43" s="476"/>
      <c r="M43" s="476"/>
      <c r="N43" s="476"/>
      <c r="O43" s="476"/>
      <c r="P43" s="143"/>
      <c r="Q43" s="78"/>
      <c r="R43" s="80"/>
      <c r="T43" s="546"/>
      <c r="U43" s="546"/>
      <c r="V43" s="546"/>
      <c r="W43" s="546"/>
    </row>
    <row r="44" spans="2:23" ht="42.75" customHeight="1" x14ac:dyDescent="0.2">
      <c r="B44" s="48"/>
      <c r="C44" s="49"/>
      <c r="D44" s="49"/>
      <c r="E44" s="49"/>
      <c r="F44" s="49"/>
      <c r="G44" s="49"/>
      <c r="H44" s="49"/>
      <c r="I44" s="49"/>
      <c r="J44" s="72"/>
      <c r="K44" s="72"/>
      <c r="L44" s="49"/>
      <c r="M44" s="49"/>
      <c r="N44" s="49"/>
      <c r="O44" s="49"/>
      <c r="P44" s="49"/>
      <c r="Q44" s="49"/>
      <c r="R44" s="47"/>
      <c r="T44" s="546"/>
      <c r="U44" s="546"/>
      <c r="V44" s="546"/>
      <c r="W44" s="546"/>
    </row>
    <row r="45" spans="2:23" s="79" customFormat="1" ht="15.75" customHeight="1" x14ac:dyDescent="0.2">
      <c r="B45" s="66"/>
      <c r="C45" s="486" t="s">
        <v>161</v>
      </c>
      <c r="D45" s="486"/>
      <c r="E45" s="486"/>
      <c r="F45" s="486"/>
      <c r="G45" s="486"/>
      <c r="H45" s="486"/>
      <c r="I45" s="486"/>
      <c r="J45" s="486"/>
      <c r="K45" s="486"/>
      <c r="L45" s="486"/>
      <c r="M45" s="486"/>
      <c r="N45" s="486"/>
      <c r="O45" s="486"/>
      <c r="P45" s="486"/>
      <c r="Q45" s="486"/>
      <c r="R45" s="80"/>
    </row>
    <row r="46" spans="2:23" s="79" customFormat="1" ht="9.75" customHeight="1" thickBot="1" x14ac:dyDescent="0.25">
      <c r="B46" s="165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80"/>
      <c r="T46" s="554"/>
      <c r="U46" s="554"/>
      <c r="V46" s="554"/>
      <c r="W46" s="554"/>
    </row>
    <row r="47" spans="2:23" s="79" customFormat="1" ht="16" x14ac:dyDescent="0.2">
      <c r="B47" s="165"/>
      <c r="C47" s="567" t="s">
        <v>68</v>
      </c>
      <c r="D47" s="460"/>
      <c r="E47" s="460"/>
      <c r="F47" s="460" t="s">
        <v>115</v>
      </c>
      <c r="G47" s="460"/>
      <c r="H47" s="460"/>
      <c r="I47" s="460" t="s">
        <v>116</v>
      </c>
      <c r="J47" s="460"/>
      <c r="K47" s="460"/>
      <c r="L47" s="460"/>
      <c r="M47" s="564"/>
      <c r="N47" s="501" t="s">
        <v>0</v>
      </c>
      <c r="O47" s="502"/>
      <c r="P47" s="502"/>
      <c r="Q47" s="503"/>
      <c r="R47" s="80"/>
      <c r="T47" s="554"/>
      <c r="U47" s="554"/>
      <c r="V47" s="554"/>
      <c r="W47" s="554"/>
    </row>
    <row r="48" spans="2:23" s="79" customFormat="1" ht="35" thickBot="1" x14ac:dyDescent="0.25">
      <c r="B48" s="165"/>
      <c r="C48" s="661"/>
      <c r="D48" s="555"/>
      <c r="E48" s="555"/>
      <c r="F48" s="128" t="s">
        <v>117</v>
      </c>
      <c r="G48" s="128" t="s">
        <v>118</v>
      </c>
      <c r="H48" s="128" t="s">
        <v>1</v>
      </c>
      <c r="I48" s="555" t="s">
        <v>119</v>
      </c>
      <c r="J48" s="555"/>
      <c r="K48" s="525" t="s">
        <v>120</v>
      </c>
      <c r="L48" s="526"/>
      <c r="M48" s="167" t="s">
        <v>1</v>
      </c>
      <c r="N48" s="127" t="s">
        <v>34</v>
      </c>
      <c r="O48" s="128" t="s">
        <v>54</v>
      </c>
      <c r="P48" s="555" t="s">
        <v>1</v>
      </c>
      <c r="Q48" s="556"/>
      <c r="R48" s="80"/>
    </row>
    <row r="49" spans="2:20" s="79" customFormat="1" ht="17" x14ac:dyDescent="0.2">
      <c r="B49" s="165"/>
      <c r="C49" s="654" t="s">
        <v>2</v>
      </c>
      <c r="D49" s="655"/>
      <c r="E49" s="655"/>
      <c r="F49" s="126"/>
      <c r="G49" s="126"/>
      <c r="H49" s="42" t="str">
        <f>IF(F49="","",(G49/F49))</f>
        <v/>
      </c>
      <c r="I49" s="403"/>
      <c r="J49" s="403"/>
      <c r="K49" s="403"/>
      <c r="L49" s="403"/>
      <c r="M49" s="98" t="str">
        <f>IF(I49="","",(K49/I49))</f>
        <v/>
      </c>
      <c r="N49" s="136">
        <f t="shared" ref="N49:N56" si="2">F49+I49</f>
        <v>0</v>
      </c>
      <c r="O49" s="137">
        <f>G49+K49</f>
        <v>0</v>
      </c>
      <c r="P49" s="557" t="str">
        <f t="shared" ref="P49:P56" si="3">IF(N49=0,"",(O49/N49))</f>
        <v/>
      </c>
      <c r="Q49" s="558"/>
      <c r="R49" s="80"/>
      <c r="T49" s="168"/>
    </row>
    <row r="50" spans="2:20" s="79" customFormat="1" ht="17" x14ac:dyDescent="0.2">
      <c r="B50" s="165"/>
      <c r="C50" s="547" t="s">
        <v>3</v>
      </c>
      <c r="D50" s="548"/>
      <c r="E50" s="548"/>
      <c r="F50" s="140"/>
      <c r="G50" s="140"/>
      <c r="H50" s="67" t="str">
        <f t="shared" ref="H50:H55" si="4">IF(F50="","",(G50/F50))</f>
        <v/>
      </c>
      <c r="I50" s="405"/>
      <c r="J50" s="405"/>
      <c r="K50" s="405"/>
      <c r="L50" s="405"/>
      <c r="M50" s="99" t="str">
        <f t="shared" ref="M50:M55" si="5">IF(I50="","",(K50/I50))</f>
        <v/>
      </c>
      <c r="N50" s="146">
        <f t="shared" si="2"/>
        <v>0</v>
      </c>
      <c r="O50" s="147">
        <f t="shared" ref="O50:O56" si="6">G50+K50</f>
        <v>0</v>
      </c>
      <c r="P50" s="498" t="str">
        <f t="shared" si="3"/>
        <v/>
      </c>
      <c r="Q50" s="499"/>
      <c r="R50" s="80"/>
      <c r="T50" s="690"/>
    </row>
    <row r="51" spans="2:20" s="79" customFormat="1" ht="17" x14ac:dyDescent="0.2">
      <c r="B51" s="165"/>
      <c r="C51" s="547" t="s">
        <v>67</v>
      </c>
      <c r="D51" s="548"/>
      <c r="E51" s="548"/>
      <c r="F51" s="140"/>
      <c r="G51" s="140"/>
      <c r="H51" s="67" t="str">
        <f>IF(F51="","",(G51/F51))</f>
        <v/>
      </c>
      <c r="I51" s="405"/>
      <c r="J51" s="405"/>
      <c r="K51" s="405"/>
      <c r="L51" s="405"/>
      <c r="M51" s="99" t="str">
        <f t="shared" si="5"/>
        <v/>
      </c>
      <c r="N51" s="146">
        <f t="shared" si="2"/>
        <v>0</v>
      </c>
      <c r="O51" s="147">
        <f t="shared" si="6"/>
        <v>0</v>
      </c>
      <c r="P51" s="498" t="str">
        <f t="shared" si="3"/>
        <v/>
      </c>
      <c r="Q51" s="499"/>
      <c r="R51" s="80"/>
      <c r="T51" s="690"/>
    </row>
    <row r="52" spans="2:20" s="79" customFormat="1" ht="17" x14ac:dyDescent="0.2">
      <c r="B52" s="165"/>
      <c r="C52" s="547" t="s">
        <v>144</v>
      </c>
      <c r="D52" s="548"/>
      <c r="E52" s="548"/>
      <c r="F52" s="140"/>
      <c r="G52" s="140"/>
      <c r="H52" s="67" t="str">
        <f t="shared" si="4"/>
        <v/>
      </c>
      <c r="I52" s="405"/>
      <c r="J52" s="405"/>
      <c r="K52" s="405"/>
      <c r="L52" s="405"/>
      <c r="M52" s="99" t="str">
        <f t="shared" si="5"/>
        <v/>
      </c>
      <c r="N52" s="146">
        <f t="shared" si="2"/>
        <v>0</v>
      </c>
      <c r="O52" s="147">
        <f t="shared" si="6"/>
        <v>0</v>
      </c>
      <c r="P52" s="498" t="str">
        <f t="shared" si="3"/>
        <v/>
      </c>
      <c r="Q52" s="499"/>
      <c r="R52" s="80"/>
      <c r="T52" s="690"/>
    </row>
    <row r="53" spans="2:20" s="79" customFormat="1" ht="17" x14ac:dyDescent="0.2">
      <c r="B53" s="165"/>
      <c r="C53" s="547" t="s">
        <v>145</v>
      </c>
      <c r="D53" s="548"/>
      <c r="E53" s="548"/>
      <c r="F53" s="140"/>
      <c r="G53" s="140"/>
      <c r="H53" s="67" t="str">
        <f t="shared" si="4"/>
        <v/>
      </c>
      <c r="I53" s="405"/>
      <c r="J53" s="405"/>
      <c r="K53" s="405"/>
      <c r="L53" s="405"/>
      <c r="M53" s="99" t="str">
        <f t="shared" si="5"/>
        <v/>
      </c>
      <c r="N53" s="146">
        <f t="shared" si="2"/>
        <v>0</v>
      </c>
      <c r="O53" s="147">
        <f t="shared" si="6"/>
        <v>0</v>
      </c>
      <c r="P53" s="498" t="str">
        <f t="shared" si="3"/>
        <v/>
      </c>
      <c r="Q53" s="499"/>
      <c r="R53" s="80"/>
    </row>
    <row r="54" spans="2:20" s="79" customFormat="1" ht="17" x14ac:dyDescent="0.2">
      <c r="B54" s="165"/>
      <c r="C54" s="547" t="s">
        <v>146</v>
      </c>
      <c r="D54" s="548"/>
      <c r="E54" s="548"/>
      <c r="F54" s="140"/>
      <c r="G54" s="140"/>
      <c r="H54" s="67" t="str">
        <f t="shared" si="4"/>
        <v/>
      </c>
      <c r="I54" s="405"/>
      <c r="J54" s="405"/>
      <c r="K54" s="405"/>
      <c r="L54" s="405"/>
      <c r="M54" s="99" t="str">
        <f t="shared" si="5"/>
        <v/>
      </c>
      <c r="N54" s="146">
        <f t="shared" si="2"/>
        <v>0</v>
      </c>
      <c r="O54" s="147">
        <f t="shared" si="6"/>
        <v>0</v>
      </c>
      <c r="P54" s="498" t="str">
        <f t="shared" si="3"/>
        <v/>
      </c>
      <c r="Q54" s="499"/>
      <c r="R54" s="80"/>
    </row>
    <row r="55" spans="2:20" s="79" customFormat="1" ht="18" thickBot="1" x14ac:dyDescent="0.25">
      <c r="B55" s="165"/>
      <c r="C55" s="658" t="s">
        <v>147</v>
      </c>
      <c r="D55" s="659"/>
      <c r="E55" s="659"/>
      <c r="F55" s="142"/>
      <c r="G55" s="142"/>
      <c r="H55" s="68" t="str">
        <f t="shared" si="4"/>
        <v/>
      </c>
      <c r="I55" s="477"/>
      <c r="J55" s="477"/>
      <c r="K55" s="477"/>
      <c r="L55" s="477"/>
      <c r="M55" s="100" t="str">
        <f t="shared" si="5"/>
        <v/>
      </c>
      <c r="N55" s="138">
        <f t="shared" si="2"/>
        <v>0</v>
      </c>
      <c r="O55" s="139">
        <f t="shared" si="6"/>
        <v>0</v>
      </c>
      <c r="P55" s="504" t="str">
        <f t="shared" si="3"/>
        <v/>
      </c>
      <c r="Q55" s="505"/>
      <c r="R55" s="80"/>
    </row>
    <row r="56" spans="2:20" s="79" customFormat="1" ht="18" thickBot="1" x14ac:dyDescent="0.25">
      <c r="B56" s="165"/>
      <c r="C56" s="635" t="s">
        <v>0</v>
      </c>
      <c r="D56" s="636"/>
      <c r="E56" s="636"/>
      <c r="F56" s="141">
        <f>SUM(F49:F55)</f>
        <v>0</v>
      </c>
      <c r="G56" s="141">
        <f>SUM(G49:G55)</f>
        <v>0</v>
      </c>
      <c r="H56" s="69" t="str">
        <f>IF(F56=0,"",(G56/F56))</f>
        <v/>
      </c>
      <c r="I56" s="478">
        <f>SUM(I49:J55)</f>
        <v>0</v>
      </c>
      <c r="J56" s="478"/>
      <c r="K56" s="478">
        <f>SUM(K49:L55)</f>
        <v>0</v>
      </c>
      <c r="L56" s="478"/>
      <c r="M56" s="101" t="str">
        <f>IF(I56=0,"",(K56/I56))</f>
        <v/>
      </c>
      <c r="N56" s="102">
        <f t="shared" si="2"/>
        <v>0</v>
      </c>
      <c r="O56" s="141">
        <f t="shared" si="6"/>
        <v>0</v>
      </c>
      <c r="P56" s="471" t="str">
        <f t="shared" si="3"/>
        <v/>
      </c>
      <c r="Q56" s="472"/>
      <c r="R56" s="80"/>
    </row>
    <row r="57" spans="2:20" s="79" customFormat="1" ht="42.75" customHeight="1" x14ac:dyDescent="0.2">
      <c r="B57" s="165"/>
      <c r="C57" s="78"/>
      <c r="D57" s="78"/>
      <c r="E57" s="78"/>
      <c r="F57" s="497" t="str">
        <f>IF(F56&lt;G56,"Error - el número de expuestos no puede ser menor al número de casos","")</f>
        <v/>
      </c>
      <c r="G57" s="497"/>
      <c r="H57" s="78"/>
      <c r="I57" s="497" t="str">
        <f>IF(I56&lt;K56,"Error - el número de expuestos no puede ser menor al número de casos","")</f>
        <v/>
      </c>
      <c r="J57" s="497"/>
      <c r="K57" s="497"/>
      <c r="L57" s="497"/>
      <c r="M57" s="78"/>
      <c r="N57" s="692" t="str">
        <f>IF(N56=N30,"","Error - La suma NO coincide con el número total de expuestos ")</f>
        <v/>
      </c>
      <c r="O57" s="692" t="str">
        <f>IF(O56=K30,"","Error - La suma NO coincide con el número total de casos ")</f>
        <v/>
      </c>
      <c r="P57" s="97"/>
      <c r="Q57" s="97"/>
      <c r="R57" s="107"/>
      <c r="S57" s="97"/>
    </row>
    <row r="58" spans="2:20" s="79" customFormat="1" ht="15.75" customHeight="1" x14ac:dyDescent="0.2">
      <c r="B58" s="66"/>
      <c r="C58" s="481" t="s">
        <v>4</v>
      </c>
      <c r="D58" s="481"/>
      <c r="E58" s="481"/>
      <c r="F58" s="481"/>
      <c r="G58" s="73"/>
      <c r="H58" s="73"/>
      <c r="I58" s="73"/>
      <c r="J58" s="73"/>
      <c r="K58" s="73"/>
      <c r="L58" s="73"/>
      <c r="M58" s="73"/>
      <c r="N58" s="693"/>
      <c r="O58" s="693"/>
      <c r="P58" s="73"/>
      <c r="Q58" s="73"/>
      <c r="R58" s="80"/>
    </row>
    <row r="59" spans="2:20" s="79" customFormat="1" ht="4.5" customHeight="1" x14ac:dyDescent="0.2">
      <c r="B59" s="66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693"/>
      <c r="O59" s="693"/>
      <c r="P59" s="135"/>
      <c r="Q59" s="135"/>
      <c r="R59" s="80"/>
    </row>
    <row r="60" spans="2:20" s="149" customFormat="1" ht="15" customHeight="1" x14ac:dyDescent="0.2">
      <c r="B60" s="169"/>
      <c r="C60" s="660" t="s">
        <v>162</v>
      </c>
      <c r="D60" s="660"/>
      <c r="E60" s="660"/>
      <c r="F60" s="660"/>
      <c r="G60" s="660"/>
      <c r="H60" s="660"/>
      <c r="I60" s="660"/>
      <c r="J60" s="660"/>
      <c r="K60" s="660"/>
      <c r="L60" s="660"/>
      <c r="M60" s="660"/>
      <c r="N60" s="693"/>
      <c r="O60" s="693"/>
      <c r="P60" s="170"/>
      <c r="Q60" s="170"/>
      <c r="R60" s="171"/>
    </row>
    <row r="61" spans="2:20" s="79" customFormat="1" ht="5.25" customHeight="1" thickBot="1" x14ac:dyDescent="0.25">
      <c r="B61" s="169"/>
      <c r="C61" s="660"/>
      <c r="D61" s="660"/>
      <c r="E61" s="660"/>
      <c r="F61" s="660"/>
      <c r="G61" s="660"/>
      <c r="H61" s="660"/>
      <c r="I61" s="660"/>
      <c r="J61" s="660"/>
      <c r="K61" s="660"/>
      <c r="L61" s="660"/>
      <c r="M61" s="660"/>
      <c r="N61" s="693"/>
      <c r="O61" s="693"/>
      <c r="P61" s="143"/>
      <c r="Q61" s="143"/>
      <c r="R61" s="80"/>
    </row>
    <row r="62" spans="2:20" s="79" customFormat="1" ht="8.25" customHeight="1" thickBot="1" x14ac:dyDescent="0.25">
      <c r="B62" s="169"/>
      <c r="C62" s="172"/>
      <c r="D62" s="173"/>
      <c r="E62" s="173"/>
      <c r="F62" s="174"/>
      <c r="G62" s="173"/>
      <c r="H62" s="173"/>
      <c r="I62" s="637"/>
      <c r="J62" s="143"/>
      <c r="K62" s="143"/>
      <c r="L62" s="143"/>
      <c r="M62" s="143"/>
      <c r="N62" s="693"/>
      <c r="O62" s="693"/>
      <c r="P62" s="143"/>
      <c r="Q62" s="78"/>
      <c r="R62" s="80"/>
    </row>
    <row r="63" spans="2:20" s="79" customFormat="1" ht="18" customHeight="1" thickBot="1" x14ac:dyDescent="0.25">
      <c r="B63" s="169"/>
      <c r="C63" s="175" t="s">
        <v>24</v>
      </c>
      <c r="D63" s="176"/>
      <c r="E63" s="177" t="s">
        <v>22</v>
      </c>
      <c r="F63" s="176"/>
      <c r="G63" s="177" t="s">
        <v>23</v>
      </c>
      <c r="H63" s="176"/>
      <c r="I63" s="638"/>
      <c r="J63" s="143"/>
      <c r="K63" s="143"/>
      <c r="L63" s="143"/>
      <c r="M63" s="143"/>
      <c r="N63" s="693"/>
      <c r="O63" s="693"/>
      <c r="P63" s="143"/>
      <c r="Q63" s="78"/>
      <c r="R63" s="80"/>
    </row>
    <row r="64" spans="2:20" s="79" customFormat="1" ht="9" customHeight="1" thickBot="1" x14ac:dyDescent="0.25">
      <c r="B64" s="169"/>
      <c r="C64" s="178"/>
      <c r="D64" s="179"/>
      <c r="E64" s="180"/>
      <c r="F64" s="179"/>
      <c r="G64" s="180"/>
      <c r="H64" s="179"/>
      <c r="I64" s="639"/>
      <c r="J64" s="143"/>
      <c r="K64" s="143"/>
      <c r="L64" s="143"/>
      <c r="M64" s="143"/>
      <c r="N64" s="693"/>
      <c r="O64" s="693"/>
      <c r="P64" s="143"/>
      <c r="Q64" s="78"/>
      <c r="R64" s="80"/>
    </row>
    <row r="65" spans="2:19" s="79" customFormat="1" ht="8.25" customHeight="1" x14ac:dyDescent="0.2">
      <c r="B65" s="169"/>
      <c r="C65" s="181"/>
      <c r="D65" s="78"/>
      <c r="E65" s="181"/>
      <c r="F65" s="78"/>
      <c r="G65" s="143"/>
      <c r="H65" s="143"/>
      <c r="I65" s="143"/>
      <c r="J65" s="143"/>
      <c r="K65" s="143"/>
      <c r="L65" s="143"/>
      <c r="M65" s="143"/>
      <c r="N65" s="693"/>
      <c r="O65" s="693"/>
      <c r="P65" s="143"/>
      <c r="Q65" s="78"/>
      <c r="R65" s="80"/>
    </row>
    <row r="66" spans="2:19" s="79" customFormat="1" ht="8.25" customHeight="1" thickBot="1" x14ac:dyDescent="0.25">
      <c r="B66" s="165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80"/>
    </row>
    <row r="67" spans="2:19" s="79" customFormat="1" ht="35" thickBot="1" x14ac:dyDescent="0.25">
      <c r="B67" s="66"/>
      <c r="C67" s="647" t="str">
        <f>IF($D$63="x","Minutos",IF($F$63="X","Horas",IF($H$63="x","Días","Error")))</f>
        <v>Error</v>
      </c>
      <c r="D67" s="648"/>
      <c r="E67" s="317" t="s">
        <v>123</v>
      </c>
      <c r="F67" s="315" t="s">
        <v>26</v>
      </c>
      <c r="G67" s="315" t="s">
        <v>33</v>
      </c>
      <c r="H67" s="324" t="s">
        <v>27</v>
      </c>
      <c r="I67" s="78"/>
      <c r="J67" s="78"/>
      <c r="K67" s="182"/>
      <c r="L67" s="500" t="str">
        <f>IF($D$63="x","Minutos",IF($F$63="X","Horas",IF($H$63="x","Días","Error")))</f>
        <v>Error</v>
      </c>
      <c r="M67" s="500"/>
      <c r="N67" s="183" t="s">
        <v>26</v>
      </c>
      <c r="O67" s="183" t="s">
        <v>32</v>
      </c>
      <c r="P67" s="183" t="s">
        <v>33</v>
      </c>
      <c r="Q67" s="183" t="s">
        <v>27</v>
      </c>
      <c r="R67" s="80"/>
    </row>
    <row r="68" spans="2:19" s="79" customFormat="1" ht="16" x14ac:dyDescent="0.2">
      <c r="B68" s="165"/>
      <c r="C68" s="184">
        <v>0</v>
      </c>
      <c r="D68" s="185">
        <v>2</v>
      </c>
      <c r="E68" s="328">
        <v>0</v>
      </c>
      <c r="F68" s="182">
        <f t="shared" ref="F68:F97" si="7">(C68+D68)/2</f>
        <v>1</v>
      </c>
      <c r="G68" s="182">
        <f t="shared" ref="G68:G97" si="8">E68*F68</f>
        <v>0</v>
      </c>
      <c r="H68" s="325">
        <f>E68</f>
        <v>0</v>
      </c>
      <c r="I68" s="495" t="str">
        <f>IF(E68="","Si no hay casos, dejar cero","")</f>
        <v/>
      </c>
      <c r="J68" s="495"/>
      <c r="K68" s="186">
        <f>Q68</f>
        <v>0</v>
      </c>
      <c r="L68" s="186">
        <v>0</v>
      </c>
      <c r="M68" s="186">
        <v>6</v>
      </c>
      <c r="N68" s="187">
        <f>(L68+M68)/2</f>
        <v>3</v>
      </c>
      <c r="O68" s="186">
        <f>SUM(E68:E70)</f>
        <v>0</v>
      </c>
      <c r="P68" s="182">
        <f>N68*O68</f>
        <v>0</v>
      </c>
      <c r="Q68" s="186">
        <f>O68</f>
        <v>0</v>
      </c>
      <c r="R68" s="188"/>
    </row>
    <row r="69" spans="2:19" s="79" customFormat="1" ht="14.25" customHeight="1" x14ac:dyDescent="0.2">
      <c r="B69" s="165"/>
      <c r="C69" s="189">
        <v>2.1</v>
      </c>
      <c r="D69" s="190">
        <v>4</v>
      </c>
      <c r="E69" s="328">
        <v>0</v>
      </c>
      <c r="F69" s="182">
        <f t="shared" si="7"/>
        <v>3.05</v>
      </c>
      <c r="G69" s="182">
        <f t="shared" si="8"/>
        <v>0</v>
      </c>
      <c r="H69" s="326">
        <f t="shared" ref="H69:H97" si="9">H68+E69</f>
        <v>0</v>
      </c>
      <c r="I69" s="495" t="str">
        <f t="shared" ref="I69:I97" si="10">IF(E69="","Si no hay casos, dejar cero","")</f>
        <v/>
      </c>
      <c r="J69" s="495"/>
      <c r="K69" s="186">
        <f t="shared" ref="K69:K77" si="11">Q69</f>
        <v>0</v>
      </c>
      <c r="L69" s="187">
        <v>6.1</v>
      </c>
      <c r="M69" s="186">
        <v>12</v>
      </c>
      <c r="N69" s="187">
        <f>(L69+M69)/2</f>
        <v>9.0500000000000007</v>
      </c>
      <c r="O69" s="186">
        <f>SUM(E71:E73)</f>
        <v>0</v>
      </c>
      <c r="P69" s="182">
        <f t="shared" ref="P69:P77" si="12">N69*O69</f>
        <v>0</v>
      </c>
      <c r="Q69" s="186">
        <f>Q68+O69</f>
        <v>0</v>
      </c>
      <c r="R69" s="188"/>
    </row>
    <row r="70" spans="2:19" s="79" customFormat="1" ht="14.25" customHeight="1" x14ac:dyDescent="0.2">
      <c r="B70" s="165"/>
      <c r="C70" s="189">
        <v>4.0999999999999996</v>
      </c>
      <c r="D70" s="190">
        <v>6</v>
      </c>
      <c r="E70" s="328">
        <v>0</v>
      </c>
      <c r="F70" s="182">
        <f t="shared" si="7"/>
        <v>5.05</v>
      </c>
      <c r="G70" s="182">
        <f t="shared" si="8"/>
        <v>0</v>
      </c>
      <c r="H70" s="326">
        <f t="shared" si="9"/>
        <v>0</v>
      </c>
      <c r="I70" s="495" t="str">
        <f t="shared" si="10"/>
        <v/>
      </c>
      <c r="J70" s="495"/>
      <c r="K70" s="186">
        <f t="shared" si="11"/>
        <v>0</v>
      </c>
      <c r="L70" s="187">
        <v>12.1</v>
      </c>
      <c r="M70" s="186">
        <v>18</v>
      </c>
      <c r="N70" s="187">
        <f t="shared" ref="N70:N77" si="13">(L70+M70)/2</f>
        <v>15.05</v>
      </c>
      <c r="O70" s="186">
        <f>SUM(E74:E76)</f>
        <v>0</v>
      </c>
      <c r="P70" s="182">
        <f t="shared" si="12"/>
        <v>0</v>
      </c>
      <c r="Q70" s="182">
        <f t="shared" ref="Q70:Q77" si="14">Q69+O70</f>
        <v>0</v>
      </c>
      <c r="R70" s="188"/>
    </row>
    <row r="71" spans="2:19" s="79" customFormat="1" ht="14.25" customHeight="1" x14ac:dyDescent="0.2">
      <c r="B71" s="165"/>
      <c r="C71" s="189">
        <v>6.1</v>
      </c>
      <c r="D71" s="190">
        <v>8</v>
      </c>
      <c r="E71" s="328">
        <v>0</v>
      </c>
      <c r="F71" s="182">
        <f t="shared" si="7"/>
        <v>7.05</v>
      </c>
      <c r="G71" s="182">
        <f t="shared" si="8"/>
        <v>0</v>
      </c>
      <c r="H71" s="326">
        <f t="shared" si="9"/>
        <v>0</v>
      </c>
      <c r="I71" s="495" t="str">
        <f t="shared" si="10"/>
        <v/>
      </c>
      <c r="J71" s="495"/>
      <c r="K71" s="186">
        <f t="shared" si="11"/>
        <v>0</v>
      </c>
      <c r="L71" s="187">
        <v>18.100000000000001</v>
      </c>
      <c r="M71" s="186">
        <v>24</v>
      </c>
      <c r="N71" s="187">
        <f t="shared" si="13"/>
        <v>21.05</v>
      </c>
      <c r="O71" s="186">
        <f>SUM(E77:E79)</f>
        <v>0</v>
      </c>
      <c r="P71" s="182">
        <f t="shared" si="12"/>
        <v>0</v>
      </c>
      <c r="Q71" s="182">
        <f t="shared" si="14"/>
        <v>0</v>
      </c>
      <c r="R71" s="188"/>
    </row>
    <row r="72" spans="2:19" s="79" customFormat="1" ht="14.25" customHeight="1" x14ac:dyDescent="0.2">
      <c r="B72" s="165"/>
      <c r="C72" s="189">
        <v>8.1</v>
      </c>
      <c r="D72" s="190">
        <v>10</v>
      </c>
      <c r="E72" s="328">
        <v>0</v>
      </c>
      <c r="F72" s="182">
        <f t="shared" si="7"/>
        <v>9.0500000000000007</v>
      </c>
      <c r="G72" s="182">
        <f t="shared" si="8"/>
        <v>0</v>
      </c>
      <c r="H72" s="326">
        <f t="shared" si="9"/>
        <v>0</v>
      </c>
      <c r="I72" s="495" t="str">
        <f t="shared" si="10"/>
        <v/>
      </c>
      <c r="J72" s="495"/>
      <c r="K72" s="186">
        <f t="shared" si="11"/>
        <v>0</v>
      </c>
      <c r="L72" s="187">
        <v>24.1</v>
      </c>
      <c r="M72" s="186">
        <v>30</v>
      </c>
      <c r="N72" s="187">
        <f t="shared" si="13"/>
        <v>27.05</v>
      </c>
      <c r="O72" s="186">
        <f>SUM(E80:E82)</f>
        <v>0</v>
      </c>
      <c r="P72" s="182">
        <f t="shared" si="12"/>
        <v>0</v>
      </c>
      <c r="Q72" s="182">
        <f t="shared" si="14"/>
        <v>0</v>
      </c>
      <c r="R72" s="188"/>
    </row>
    <row r="73" spans="2:19" s="79" customFormat="1" ht="14.25" customHeight="1" x14ac:dyDescent="0.2">
      <c r="B73" s="165"/>
      <c r="C73" s="189">
        <v>10.1</v>
      </c>
      <c r="D73" s="185">
        <v>12</v>
      </c>
      <c r="E73" s="328">
        <v>0</v>
      </c>
      <c r="F73" s="182">
        <f t="shared" si="7"/>
        <v>11.05</v>
      </c>
      <c r="G73" s="182">
        <f t="shared" si="8"/>
        <v>0</v>
      </c>
      <c r="H73" s="326">
        <f t="shared" si="9"/>
        <v>0</v>
      </c>
      <c r="I73" s="495" t="str">
        <f t="shared" si="10"/>
        <v/>
      </c>
      <c r="J73" s="495"/>
      <c r="K73" s="186">
        <f t="shared" si="11"/>
        <v>0</v>
      </c>
      <c r="L73" s="187">
        <v>30.1</v>
      </c>
      <c r="M73" s="186">
        <v>36</v>
      </c>
      <c r="N73" s="187">
        <f t="shared" si="13"/>
        <v>33.049999999999997</v>
      </c>
      <c r="O73" s="186">
        <f>SUM(E83:E85)</f>
        <v>0</v>
      </c>
      <c r="P73" s="182">
        <f t="shared" si="12"/>
        <v>0</v>
      </c>
      <c r="Q73" s="182">
        <f t="shared" si="14"/>
        <v>0</v>
      </c>
      <c r="R73" s="188"/>
    </row>
    <row r="74" spans="2:19" s="79" customFormat="1" ht="14.25" customHeight="1" x14ac:dyDescent="0.2">
      <c r="B74" s="165"/>
      <c r="C74" s="189">
        <v>12.1</v>
      </c>
      <c r="D74" s="190">
        <v>14</v>
      </c>
      <c r="E74" s="328">
        <v>0</v>
      </c>
      <c r="F74" s="182">
        <f t="shared" si="7"/>
        <v>13.05</v>
      </c>
      <c r="G74" s="182">
        <f t="shared" si="8"/>
        <v>0</v>
      </c>
      <c r="H74" s="326">
        <f t="shared" si="9"/>
        <v>0</v>
      </c>
      <c r="I74" s="495" t="str">
        <f t="shared" si="10"/>
        <v/>
      </c>
      <c r="J74" s="495"/>
      <c r="K74" s="186">
        <f t="shared" si="11"/>
        <v>0</v>
      </c>
      <c r="L74" s="187">
        <v>36.1</v>
      </c>
      <c r="M74" s="186">
        <v>42</v>
      </c>
      <c r="N74" s="187">
        <f t="shared" si="13"/>
        <v>39.049999999999997</v>
      </c>
      <c r="O74" s="186">
        <f>SUM(E86:E88)</f>
        <v>0</v>
      </c>
      <c r="P74" s="182">
        <f t="shared" si="12"/>
        <v>0</v>
      </c>
      <c r="Q74" s="182">
        <f t="shared" si="14"/>
        <v>0</v>
      </c>
      <c r="R74" s="188"/>
    </row>
    <row r="75" spans="2:19" s="79" customFormat="1" ht="14.25" customHeight="1" x14ac:dyDescent="0.2">
      <c r="B75" s="165"/>
      <c r="C75" s="189">
        <v>14.1</v>
      </c>
      <c r="D75" s="190">
        <v>16</v>
      </c>
      <c r="E75" s="328">
        <v>0</v>
      </c>
      <c r="F75" s="182">
        <f t="shared" si="7"/>
        <v>15.05</v>
      </c>
      <c r="G75" s="182">
        <f t="shared" si="8"/>
        <v>0</v>
      </c>
      <c r="H75" s="326">
        <f t="shared" si="9"/>
        <v>0</v>
      </c>
      <c r="I75" s="495" t="str">
        <f t="shared" si="10"/>
        <v/>
      </c>
      <c r="J75" s="495"/>
      <c r="K75" s="186">
        <f t="shared" si="11"/>
        <v>0</v>
      </c>
      <c r="L75" s="187">
        <v>42.1</v>
      </c>
      <c r="M75" s="186">
        <v>48</v>
      </c>
      <c r="N75" s="187">
        <f t="shared" si="13"/>
        <v>45.05</v>
      </c>
      <c r="O75" s="186">
        <f>SUM(E89:E91)</f>
        <v>0</v>
      </c>
      <c r="P75" s="182">
        <f t="shared" si="12"/>
        <v>0</v>
      </c>
      <c r="Q75" s="182">
        <f t="shared" si="14"/>
        <v>0</v>
      </c>
      <c r="R75" s="80"/>
    </row>
    <row r="76" spans="2:19" s="79" customFormat="1" ht="14.25" customHeight="1" x14ac:dyDescent="0.2">
      <c r="B76" s="165"/>
      <c r="C76" s="189">
        <v>16.100000000000001</v>
      </c>
      <c r="D76" s="190">
        <v>18</v>
      </c>
      <c r="E76" s="328">
        <v>0</v>
      </c>
      <c r="F76" s="182">
        <f t="shared" si="7"/>
        <v>17.05</v>
      </c>
      <c r="G76" s="182">
        <f t="shared" si="8"/>
        <v>0</v>
      </c>
      <c r="H76" s="326">
        <f t="shared" si="9"/>
        <v>0</v>
      </c>
      <c r="I76" s="495" t="str">
        <f t="shared" si="10"/>
        <v/>
      </c>
      <c r="J76" s="495"/>
      <c r="K76" s="186">
        <f t="shared" si="11"/>
        <v>0</v>
      </c>
      <c r="L76" s="187">
        <v>48.1</v>
      </c>
      <c r="M76" s="186">
        <v>54</v>
      </c>
      <c r="N76" s="187">
        <f t="shared" si="13"/>
        <v>51.05</v>
      </c>
      <c r="O76" s="186">
        <f>SUM(E92:E94)</f>
        <v>0</v>
      </c>
      <c r="P76" s="182">
        <f t="shared" si="12"/>
        <v>0</v>
      </c>
      <c r="Q76" s="182">
        <f t="shared" si="14"/>
        <v>0</v>
      </c>
      <c r="R76" s="80"/>
    </row>
    <row r="77" spans="2:19" s="79" customFormat="1" ht="14.25" customHeight="1" x14ac:dyDescent="0.2">
      <c r="B77" s="165"/>
      <c r="C77" s="189">
        <v>18.100000000000001</v>
      </c>
      <c r="D77" s="190">
        <v>20</v>
      </c>
      <c r="E77" s="328">
        <v>0</v>
      </c>
      <c r="F77" s="182">
        <f t="shared" si="7"/>
        <v>19.05</v>
      </c>
      <c r="G77" s="182">
        <f t="shared" si="8"/>
        <v>0</v>
      </c>
      <c r="H77" s="326">
        <f t="shared" si="9"/>
        <v>0</v>
      </c>
      <c r="I77" s="495" t="str">
        <f t="shared" si="10"/>
        <v/>
      </c>
      <c r="J77" s="495"/>
      <c r="K77" s="186">
        <f t="shared" si="11"/>
        <v>0</v>
      </c>
      <c r="L77" s="187">
        <v>54.1</v>
      </c>
      <c r="M77" s="186">
        <v>60</v>
      </c>
      <c r="N77" s="187">
        <f t="shared" si="13"/>
        <v>57.05</v>
      </c>
      <c r="O77" s="186">
        <f>SUM(E95:E97)</f>
        <v>0</v>
      </c>
      <c r="P77" s="182">
        <f t="shared" si="12"/>
        <v>0</v>
      </c>
      <c r="Q77" s="183">
        <f t="shared" si="14"/>
        <v>0</v>
      </c>
      <c r="R77" s="80"/>
    </row>
    <row r="78" spans="2:19" s="79" customFormat="1" ht="14.25" customHeight="1" x14ac:dyDescent="0.2">
      <c r="B78" s="165"/>
      <c r="C78" s="189">
        <v>20.100000000000001</v>
      </c>
      <c r="D78" s="185">
        <v>22</v>
      </c>
      <c r="E78" s="328">
        <v>0</v>
      </c>
      <c r="F78" s="182">
        <f t="shared" si="7"/>
        <v>21.05</v>
      </c>
      <c r="G78" s="182">
        <f t="shared" si="8"/>
        <v>0</v>
      </c>
      <c r="H78" s="326">
        <f t="shared" si="9"/>
        <v>0</v>
      </c>
      <c r="I78" s="495" t="str">
        <f t="shared" si="10"/>
        <v/>
      </c>
      <c r="J78" s="495"/>
      <c r="K78" s="182"/>
      <c r="L78" s="187"/>
      <c r="M78" s="186"/>
      <c r="N78" s="187"/>
      <c r="O78" s="191">
        <f>SUM(O68:O77)</f>
        <v>0</v>
      </c>
      <c r="P78" s="183">
        <f>SUM(P68:P77)</f>
        <v>0</v>
      </c>
      <c r="Q78" s="182"/>
      <c r="R78" s="80"/>
    </row>
    <row r="79" spans="2:19" s="79" customFormat="1" ht="14.25" customHeight="1" x14ac:dyDescent="0.2">
      <c r="B79" s="165"/>
      <c r="C79" s="189">
        <v>22.1</v>
      </c>
      <c r="D79" s="190">
        <v>24</v>
      </c>
      <c r="E79" s="328">
        <v>0</v>
      </c>
      <c r="F79" s="182">
        <f t="shared" si="7"/>
        <v>23.05</v>
      </c>
      <c r="G79" s="182">
        <f t="shared" si="8"/>
        <v>0</v>
      </c>
      <c r="H79" s="326">
        <f t="shared" si="9"/>
        <v>0</v>
      </c>
      <c r="I79" s="495" t="str">
        <f t="shared" si="10"/>
        <v/>
      </c>
      <c r="J79" s="495"/>
      <c r="K79" s="192"/>
      <c r="L79" s="78"/>
      <c r="M79" s="78"/>
      <c r="N79" s="78"/>
      <c r="O79" s="78"/>
      <c r="P79" s="78"/>
      <c r="Q79" s="78"/>
      <c r="R79" s="80"/>
    </row>
    <row r="80" spans="2:19" s="79" customFormat="1" ht="14.25" customHeight="1" x14ac:dyDescent="0.2">
      <c r="B80" s="165"/>
      <c r="C80" s="189">
        <v>24.1</v>
      </c>
      <c r="D80" s="190">
        <v>26</v>
      </c>
      <c r="E80" s="328">
        <v>0</v>
      </c>
      <c r="F80" s="182">
        <f t="shared" si="7"/>
        <v>25.05</v>
      </c>
      <c r="G80" s="182">
        <f t="shared" si="8"/>
        <v>0</v>
      </c>
      <c r="H80" s="326">
        <f t="shared" si="9"/>
        <v>0</v>
      </c>
      <c r="I80" s="495" t="str">
        <f t="shared" si="10"/>
        <v/>
      </c>
      <c r="J80" s="495"/>
      <c r="K80" s="192"/>
      <c r="L80" s="193"/>
      <c r="M80" s="194"/>
      <c r="N80" s="193"/>
      <c r="O80" s="194"/>
      <c r="P80" s="195"/>
      <c r="Q80" s="196"/>
      <c r="R80" s="197"/>
      <c r="S80" s="170"/>
    </row>
    <row r="81" spans="2:19" s="79" customFormat="1" ht="14.25" customHeight="1" x14ac:dyDescent="0.2">
      <c r="B81" s="165"/>
      <c r="C81" s="189">
        <v>26.1</v>
      </c>
      <c r="D81" s="190">
        <v>28</v>
      </c>
      <c r="E81" s="328">
        <v>0</v>
      </c>
      <c r="F81" s="182">
        <f t="shared" si="7"/>
        <v>27.05</v>
      </c>
      <c r="G81" s="182">
        <f t="shared" si="8"/>
        <v>0</v>
      </c>
      <c r="H81" s="326">
        <f t="shared" si="9"/>
        <v>0</v>
      </c>
      <c r="I81" s="495" t="str">
        <f t="shared" si="10"/>
        <v/>
      </c>
      <c r="J81" s="495"/>
      <c r="K81" s="192"/>
      <c r="L81" s="480"/>
      <c r="M81" s="480"/>
      <c r="N81" s="480"/>
      <c r="O81" s="78"/>
      <c r="P81" s="78"/>
      <c r="Q81" s="195"/>
      <c r="R81" s="197"/>
      <c r="S81" s="170"/>
    </row>
    <row r="82" spans="2:19" s="79" customFormat="1" ht="14.25" customHeight="1" x14ac:dyDescent="0.2">
      <c r="B82" s="165"/>
      <c r="C82" s="189">
        <v>28.1</v>
      </c>
      <c r="D82" s="190">
        <v>30</v>
      </c>
      <c r="E82" s="328">
        <v>0</v>
      </c>
      <c r="F82" s="182">
        <f t="shared" si="7"/>
        <v>29.05</v>
      </c>
      <c r="G82" s="182">
        <f t="shared" si="8"/>
        <v>0</v>
      </c>
      <c r="H82" s="326">
        <f t="shared" si="9"/>
        <v>0</v>
      </c>
      <c r="I82" s="495" t="str">
        <f t="shared" si="10"/>
        <v/>
      </c>
      <c r="J82" s="495"/>
      <c r="K82" s="182"/>
      <c r="L82" s="500"/>
      <c r="M82" s="500"/>
      <c r="N82" s="183"/>
      <c r="O82" s="183"/>
      <c r="P82" s="183"/>
      <c r="Q82" s="183"/>
      <c r="R82" s="198"/>
      <c r="S82" s="170"/>
    </row>
    <row r="83" spans="2:19" s="79" customFormat="1" ht="14.25" customHeight="1" x14ac:dyDescent="0.2">
      <c r="B83" s="165"/>
      <c r="C83" s="189">
        <v>30.1</v>
      </c>
      <c r="D83" s="185">
        <v>32</v>
      </c>
      <c r="E83" s="328">
        <v>0</v>
      </c>
      <c r="F83" s="182">
        <f t="shared" si="7"/>
        <v>31.05</v>
      </c>
      <c r="G83" s="182">
        <f t="shared" si="8"/>
        <v>0</v>
      </c>
      <c r="H83" s="326">
        <f t="shared" si="9"/>
        <v>0</v>
      </c>
      <c r="I83" s="495" t="str">
        <f t="shared" si="10"/>
        <v/>
      </c>
      <c r="J83" s="495"/>
      <c r="K83" s="186"/>
      <c r="L83" s="186"/>
      <c r="M83" s="186"/>
      <c r="N83" s="187"/>
      <c r="O83" s="186"/>
      <c r="P83" s="182"/>
      <c r="Q83" s="186"/>
      <c r="R83" s="198"/>
      <c r="S83" s="170"/>
    </row>
    <row r="84" spans="2:19" s="79" customFormat="1" ht="14.25" customHeight="1" x14ac:dyDescent="0.2">
      <c r="B84" s="165"/>
      <c r="C84" s="189">
        <v>32.1</v>
      </c>
      <c r="D84" s="190">
        <v>34</v>
      </c>
      <c r="E84" s="328">
        <v>0</v>
      </c>
      <c r="F84" s="182">
        <f t="shared" si="7"/>
        <v>33.049999999999997</v>
      </c>
      <c r="G84" s="182">
        <f t="shared" si="8"/>
        <v>0</v>
      </c>
      <c r="H84" s="326">
        <f t="shared" si="9"/>
        <v>0</v>
      </c>
      <c r="I84" s="495" t="str">
        <f t="shared" si="10"/>
        <v/>
      </c>
      <c r="J84" s="495"/>
      <c r="K84" s="186"/>
      <c r="L84" s="187"/>
      <c r="M84" s="186"/>
      <c r="N84" s="187"/>
      <c r="O84" s="186"/>
      <c r="P84" s="182"/>
      <c r="Q84" s="182"/>
      <c r="R84" s="199"/>
      <c r="S84" s="78"/>
    </row>
    <row r="85" spans="2:19" s="79" customFormat="1" ht="14.25" customHeight="1" x14ac:dyDescent="0.2">
      <c r="B85" s="165"/>
      <c r="C85" s="189">
        <v>34.1</v>
      </c>
      <c r="D85" s="190">
        <v>36</v>
      </c>
      <c r="E85" s="328">
        <v>0</v>
      </c>
      <c r="F85" s="182">
        <f t="shared" si="7"/>
        <v>35.049999999999997</v>
      </c>
      <c r="G85" s="182">
        <f t="shared" si="8"/>
        <v>0</v>
      </c>
      <c r="H85" s="326">
        <f t="shared" si="9"/>
        <v>0</v>
      </c>
      <c r="I85" s="495" t="str">
        <f t="shared" si="10"/>
        <v/>
      </c>
      <c r="J85" s="495"/>
      <c r="K85" s="186"/>
      <c r="L85" s="78"/>
      <c r="M85" s="78"/>
      <c r="N85" s="78"/>
      <c r="O85" s="78"/>
      <c r="P85" s="78"/>
      <c r="Q85" s="78"/>
      <c r="R85" s="199"/>
      <c r="S85" s="78"/>
    </row>
    <row r="86" spans="2:19" s="79" customFormat="1" ht="14.25" customHeight="1" thickBot="1" x14ac:dyDescent="0.25">
      <c r="B86" s="165"/>
      <c r="C86" s="189">
        <v>36.1</v>
      </c>
      <c r="D86" s="190">
        <v>38</v>
      </c>
      <c r="E86" s="328">
        <v>0</v>
      </c>
      <c r="F86" s="182">
        <f t="shared" si="7"/>
        <v>37.049999999999997</v>
      </c>
      <c r="G86" s="182">
        <f t="shared" si="8"/>
        <v>0</v>
      </c>
      <c r="H86" s="326">
        <f t="shared" si="9"/>
        <v>0</v>
      </c>
      <c r="I86" s="495" t="str">
        <f t="shared" si="10"/>
        <v/>
      </c>
      <c r="J86" s="495"/>
      <c r="K86" s="186"/>
      <c r="L86" s="78"/>
      <c r="M86" s="78"/>
      <c r="N86" s="78"/>
      <c r="O86" s="78"/>
      <c r="P86" s="78"/>
      <c r="Q86" s="78"/>
      <c r="R86" s="199"/>
      <c r="S86" s="78"/>
    </row>
    <row r="87" spans="2:19" s="79" customFormat="1" ht="14.25" customHeight="1" x14ac:dyDescent="0.2">
      <c r="B87" s="165"/>
      <c r="C87" s="189">
        <v>38.1</v>
      </c>
      <c r="D87" s="190">
        <v>40</v>
      </c>
      <c r="E87" s="328">
        <v>0</v>
      </c>
      <c r="F87" s="182">
        <f t="shared" si="7"/>
        <v>39.049999999999997</v>
      </c>
      <c r="G87" s="182">
        <f t="shared" si="8"/>
        <v>0</v>
      </c>
      <c r="H87" s="326">
        <f t="shared" si="9"/>
        <v>0</v>
      </c>
      <c r="I87" s="495" t="str">
        <f t="shared" si="10"/>
        <v/>
      </c>
      <c r="J87" s="495"/>
      <c r="K87" s="186"/>
      <c r="L87" s="540" t="s">
        <v>29</v>
      </c>
      <c r="M87" s="541"/>
      <c r="N87" s="541"/>
      <c r="O87" s="542"/>
      <c r="P87" s="200"/>
      <c r="Q87" s="201" t="str">
        <f>IF($D$63="x","Minutos",IF($F$63="X","Horas",IF($H$63="x","Días","Error")))</f>
        <v>Error</v>
      </c>
      <c r="R87" s="199"/>
      <c r="S87" s="78"/>
    </row>
    <row r="88" spans="2:19" s="79" customFormat="1" ht="14.25" customHeight="1" x14ac:dyDescent="0.2">
      <c r="B88" s="165"/>
      <c r="C88" s="189">
        <v>40.1</v>
      </c>
      <c r="D88" s="185">
        <v>42</v>
      </c>
      <c r="E88" s="328">
        <v>0</v>
      </c>
      <c r="F88" s="182">
        <f t="shared" si="7"/>
        <v>41.05</v>
      </c>
      <c r="G88" s="182">
        <f t="shared" si="8"/>
        <v>0</v>
      </c>
      <c r="H88" s="326">
        <f t="shared" si="9"/>
        <v>0</v>
      </c>
      <c r="I88" s="495" t="str">
        <f t="shared" si="10"/>
        <v/>
      </c>
      <c r="J88" s="495"/>
      <c r="K88" s="186"/>
      <c r="L88" s="543" t="s">
        <v>30</v>
      </c>
      <c r="M88" s="544"/>
      <c r="N88" s="544"/>
      <c r="O88" s="545"/>
      <c r="P88" s="202"/>
      <c r="Q88" s="203" t="str">
        <f>IF($D$63="x","Minutos",IF($F$63="X","Horas",IF($H$63="x","Días","Error")))</f>
        <v>Error</v>
      </c>
      <c r="R88" s="199"/>
      <c r="S88" s="78"/>
    </row>
    <row r="89" spans="2:19" s="79" customFormat="1" ht="14.25" customHeight="1" x14ac:dyDescent="0.2">
      <c r="B89" s="165"/>
      <c r="C89" s="189">
        <v>42.1</v>
      </c>
      <c r="D89" s="190">
        <v>44</v>
      </c>
      <c r="E89" s="328">
        <v>0</v>
      </c>
      <c r="F89" s="182">
        <f t="shared" si="7"/>
        <v>43.05</v>
      </c>
      <c r="G89" s="182">
        <f t="shared" si="8"/>
        <v>0</v>
      </c>
      <c r="H89" s="326">
        <f t="shared" si="9"/>
        <v>0</v>
      </c>
      <c r="I89" s="495" t="str">
        <f t="shared" si="10"/>
        <v/>
      </c>
      <c r="J89" s="495"/>
      <c r="K89" s="186"/>
      <c r="L89" s="543" t="s">
        <v>25</v>
      </c>
      <c r="M89" s="544"/>
      <c r="N89" s="544"/>
      <c r="O89" s="545"/>
      <c r="P89" s="204" t="e">
        <f>G98/H97</f>
        <v>#DIV/0!</v>
      </c>
      <c r="Q89" s="203" t="str">
        <f>IF($D$63="x","Minutos",IF($F$63="X","Horas",IF($H$63="x","Días","Error")))</f>
        <v>Error</v>
      </c>
      <c r="R89" s="199"/>
      <c r="S89" s="78"/>
    </row>
    <row r="90" spans="2:19" s="79" customFormat="1" ht="14.25" customHeight="1" thickBot="1" x14ac:dyDescent="0.25">
      <c r="B90" s="165"/>
      <c r="C90" s="189">
        <v>44.1</v>
      </c>
      <c r="D90" s="190">
        <v>46</v>
      </c>
      <c r="E90" s="328">
        <v>0</v>
      </c>
      <c r="F90" s="182">
        <f t="shared" si="7"/>
        <v>45.05</v>
      </c>
      <c r="G90" s="182">
        <f t="shared" si="8"/>
        <v>0</v>
      </c>
      <c r="H90" s="326">
        <f t="shared" si="9"/>
        <v>0</v>
      </c>
      <c r="I90" s="480" t="str">
        <f t="shared" si="10"/>
        <v/>
      </c>
      <c r="J90" s="480"/>
      <c r="K90" s="195"/>
      <c r="L90" s="581" t="s">
        <v>31</v>
      </c>
      <c r="M90" s="582"/>
      <c r="N90" s="582"/>
      <c r="O90" s="583"/>
      <c r="P90" s="205" t="e">
        <f>P95+(((P94-P96)/P97)*5)</f>
        <v>#N/A</v>
      </c>
      <c r="Q90" s="206" t="str">
        <f>IF($D$63="x","Minutos",IF($F$63="X","Horas",IF($H$63="x","Días","Error")))</f>
        <v>Error</v>
      </c>
      <c r="R90" s="80"/>
      <c r="S90" s="78"/>
    </row>
    <row r="91" spans="2:19" s="79" customFormat="1" ht="19.5" customHeight="1" x14ac:dyDescent="0.2">
      <c r="B91" s="165"/>
      <c r="C91" s="189">
        <v>46.1</v>
      </c>
      <c r="D91" s="190">
        <v>48</v>
      </c>
      <c r="E91" s="328">
        <v>0</v>
      </c>
      <c r="F91" s="182">
        <f t="shared" si="7"/>
        <v>47.05</v>
      </c>
      <c r="G91" s="182">
        <f t="shared" si="8"/>
        <v>0</v>
      </c>
      <c r="H91" s="326">
        <f t="shared" si="9"/>
        <v>0</v>
      </c>
      <c r="I91" s="480" t="str">
        <f t="shared" si="10"/>
        <v/>
      </c>
      <c r="J91" s="480"/>
      <c r="K91" s="195"/>
      <c r="L91" s="453" t="str">
        <f>IF(P88&lt;P87,"Error - el periodo de incubación mas largo no puede ser menor al periodo mas corto corto"," ")</f>
        <v xml:space="preserve"> </v>
      </c>
      <c r="M91" s="453"/>
      <c r="N91" s="453"/>
      <c r="O91" s="453"/>
      <c r="P91" s="453"/>
      <c r="Q91" s="453"/>
      <c r="R91" s="80"/>
      <c r="S91" s="78"/>
    </row>
    <row r="92" spans="2:19" s="79" customFormat="1" ht="14.25" customHeight="1" x14ac:dyDescent="0.2">
      <c r="B92" s="165"/>
      <c r="C92" s="189">
        <v>48.1</v>
      </c>
      <c r="D92" s="190">
        <v>50</v>
      </c>
      <c r="E92" s="328">
        <v>0</v>
      </c>
      <c r="F92" s="182">
        <f t="shared" si="7"/>
        <v>49.05</v>
      </c>
      <c r="G92" s="182">
        <f t="shared" si="8"/>
        <v>0</v>
      </c>
      <c r="H92" s="326">
        <f t="shared" si="9"/>
        <v>0</v>
      </c>
      <c r="I92" s="480" t="str">
        <f t="shared" si="10"/>
        <v/>
      </c>
      <c r="J92" s="480"/>
      <c r="K92" s="195"/>
      <c r="L92" s="78"/>
      <c r="M92" s="78"/>
      <c r="N92" s="78"/>
      <c r="O92" s="78"/>
      <c r="P92" s="78"/>
      <c r="Q92" s="78"/>
      <c r="R92" s="80"/>
      <c r="S92" s="78"/>
    </row>
    <row r="93" spans="2:19" s="79" customFormat="1" ht="14.25" customHeight="1" x14ac:dyDescent="0.2">
      <c r="B93" s="165"/>
      <c r="C93" s="189">
        <v>50.1</v>
      </c>
      <c r="D93" s="185">
        <v>52</v>
      </c>
      <c r="E93" s="328">
        <v>0</v>
      </c>
      <c r="F93" s="182">
        <f t="shared" si="7"/>
        <v>51.05</v>
      </c>
      <c r="G93" s="182">
        <f t="shared" si="8"/>
        <v>0</v>
      </c>
      <c r="H93" s="326">
        <f t="shared" si="9"/>
        <v>0</v>
      </c>
      <c r="I93" s="480" t="str">
        <f t="shared" si="10"/>
        <v/>
      </c>
      <c r="J93" s="480"/>
      <c r="K93" s="195"/>
      <c r="L93" s="195"/>
      <c r="M93" s="195"/>
      <c r="N93" s="195"/>
      <c r="O93" s="195"/>
      <c r="P93" s="195"/>
      <c r="Q93" s="195"/>
      <c r="R93" s="80"/>
      <c r="S93" s="78"/>
    </row>
    <row r="94" spans="2:19" s="79" customFormat="1" ht="14.25" customHeight="1" x14ac:dyDescent="0.2">
      <c r="B94" s="165"/>
      <c r="C94" s="189">
        <v>52.1</v>
      </c>
      <c r="D94" s="190">
        <v>54</v>
      </c>
      <c r="E94" s="328">
        <v>0</v>
      </c>
      <c r="F94" s="182">
        <f t="shared" si="7"/>
        <v>53.05</v>
      </c>
      <c r="G94" s="182">
        <f t="shared" si="8"/>
        <v>0</v>
      </c>
      <c r="H94" s="326">
        <f t="shared" si="9"/>
        <v>0</v>
      </c>
      <c r="I94" s="480" t="str">
        <f t="shared" si="10"/>
        <v/>
      </c>
      <c r="J94" s="480"/>
      <c r="K94" s="195"/>
      <c r="L94" s="496" t="s">
        <v>69</v>
      </c>
      <c r="M94" s="496"/>
      <c r="N94" s="496"/>
      <c r="O94" s="496"/>
      <c r="P94" s="207">
        <f>(O78-1)/2</f>
        <v>-0.5</v>
      </c>
      <c r="Q94" s="182" t="str">
        <f>IF($D$63="x","Minutos",IF($F$63="X","Horas",IF($H$63="x","Días","Error")))</f>
        <v>Error</v>
      </c>
      <c r="R94" s="80"/>
      <c r="S94" s="78"/>
    </row>
    <row r="95" spans="2:19" s="79" customFormat="1" ht="14.25" customHeight="1" x14ac:dyDescent="0.2">
      <c r="B95" s="165"/>
      <c r="C95" s="189">
        <v>54.1</v>
      </c>
      <c r="D95" s="190">
        <v>56</v>
      </c>
      <c r="E95" s="328">
        <v>0</v>
      </c>
      <c r="F95" s="182">
        <f t="shared" si="7"/>
        <v>55.05</v>
      </c>
      <c r="G95" s="182">
        <f t="shared" si="8"/>
        <v>0</v>
      </c>
      <c r="H95" s="326">
        <f t="shared" si="9"/>
        <v>0</v>
      </c>
      <c r="I95" s="480" t="str">
        <f t="shared" si="10"/>
        <v/>
      </c>
      <c r="J95" s="480"/>
      <c r="K95" s="195"/>
      <c r="L95" s="496" t="s">
        <v>70</v>
      </c>
      <c r="M95" s="496"/>
      <c r="N95" s="496"/>
      <c r="O95" s="496"/>
      <c r="P95" s="207" t="e">
        <f>VLOOKUP(P94,$K$68:$Q$77,2)</f>
        <v>#N/A</v>
      </c>
      <c r="Q95" s="182" t="str">
        <f>IF($D$63="x","Minutos",IF($F$63="X","Horas",IF($H$63="x","Días","Error")))</f>
        <v>Error</v>
      </c>
      <c r="R95" s="80"/>
      <c r="S95" s="78"/>
    </row>
    <row r="96" spans="2:19" s="79" customFormat="1" ht="14.25" customHeight="1" x14ac:dyDescent="0.2">
      <c r="B96" s="165"/>
      <c r="C96" s="189">
        <v>56.1</v>
      </c>
      <c r="D96" s="190">
        <v>58</v>
      </c>
      <c r="E96" s="328">
        <v>0</v>
      </c>
      <c r="F96" s="182">
        <f t="shared" si="7"/>
        <v>57.05</v>
      </c>
      <c r="G96" s="182">
        <f t="shared" si="8"/>
        <v>0</v>
      </c>
      <c r="H96" s="326">
        <f t="shared" si="9"/>
        <v>0</v>
      </c>
      <c r="I96" s="480" t="str">
        <f t="shared" si="10"/>
        <v/>
      </c>
      <c r="J96" s="480"/>
      <c r="K96" s="195"/>
      <c r="L96" s="513" t="s">
        <v>163</v>
      </c>
      <c r="M96" s="513"/>
      <c r="N96" s="513"/>
      <c r="O96" s="513"/>
      <c r="P96" s="207" t="e">
        <f>VLOOKUP(P94,$Q$68:$Q$77,1)</f>
        <v>#N/A</v>
      </c>
      <c r="Q96" s="182" t="str">
        <f>IF($D$63="x","Minutos",IF($F$63="X","Horas",IF($H$63="x","Días","Error")))</f>
        <v>Error</v>
      </c>
      <c r="R96" s="80"/>
      <c r="S96" s="78"/>
    </row>
    <row r="97" spans="1:43" s="79" customFormat="1" ht="14.25" customHeight="1" thickBot="1" x14ac:dyDescent="0.25">
      <c r="B97" s="165"/>
      <c r="C97" s="189">
        <v>58.1</v>
      </c>
      <c r="D97" s="190">
        <v>60</v>
      </c>
      <c r="E97" s="328">
        <v>0</v>
      </c>
      <c r="F97" s="182">
        <f t="shared" si="7"/>
        <v>59.05</v>
      </c>
      <c r="G97" s="182">
        <f t="shared" si="8"/>
        <v>0</v>
      </c>
      <c r="H97" s="326">
        <f t="shared" si="9"/>
        <v>0</v>
      </c>
      <c r="I97" s="480" t="str">
        <f t="shared" si="10"/>
        <v/>
      </c>
      <c r="J97" s="480"/>
      <c r="K97" s="195"/>
      <c r="L97" s="513" t="s">
        <v>28</v>
      </c>
      <c r="M97" s="513"/>
      <c r="N97" s="513"/>
      <c r="O97" s="513"/>
      <c r="P97" s="207" t="e">
        <f>VLOOKUP(P95,$L$68:$Q$77,4,0)</f>
        <v>#N/A</v>
      </c>
      <c r="Q97" s="182" t="str">
        <f>IF($D$63="x","Minutos",IF($F$63="X","Horas",IF($H$63="x","Días","Error")))</f>
        <v>Error</v>
      </c>
      <c r="R97" s="80"/>
      <c r="S97" s="78"/>
    </row>
    <row r="98" spans="1:43" s="79" customFormat="1" ht="33" customHeight="1" thickBot="1" x14ac:dyDescent="0.25">
      <c r="B98" s="165"/>
      <c r="C98" s="208"/>
      <c r="D98" s="314" t="s">
        <v>0</v>
      </c>
      <c r="E98" s="329">
        <f>SUM(E68:E97)</f>
        <v>0</v>
      </c>
      <c r="F98" s="315"/>
      <c r="G98" s="323">
        <f>SUM(G68:G97)</f>
        <v>0</v>
      </c>
      <c r="H98" s="327"/>
      <c r="I98" s="486" t="str">
        <f>IF(E98=K30,"","         Error - La suma de los casos NO coincide con el número de casos descrito inicialmente")</f>
        <v/>
      </c>
      <c r="J98" s="486"/>
      <c r="K98" s="486"/>
      <c r="L98" s="486"/>
      <c r="M98" s="486"/>
      <c r="N98" s="486"/>
      <c r="O98" s="486"/>
      <c r="P98" s="209"/>
      <c r="Q98" s="209"/>
      <c r="R98" s="197"/>
      <c r="S98" s="170"/>
    </row>
    <row r="99" spans="1:43" s="79" customFormat="1" ht="42.75" customHeight="1" x14ac:dyDescent="0.2">
      <c r="B99" s="165"/>
      <c r="C99" s="81"/>
      <c r="D99" s="81"/>
      <c r="E99" s="78"/>
      <c r="F99" s="78"/>
      <c r="G99" s="78"/>
      <c r="H99" s="78"/>
      <c r="I99" s="195"/>
      <c r="J99" s="195"/>
      <c r="K99" s="195"/>
      <c r="L99" s="195"/>
      <c r="M99" s="195"/>
      <c r="N99" s="195"/>
      <c r="O99" s="195"/>
      <c r="P99" s="195"/>
      <c r="Q99" s="195"/>
      <c r="R99" s="80"/>
    </row>
    <row r="100" spans="1:43" s="79" customFormat="1" ht="15.75" customHeight="1" x14ac:dyDescent="0.2">
      <c r="B100" s="66"/>
      <c r="C100" s="481" t="s">
        <v>5</v>
      </c>
      <c r="D100" s="481"/>
      <c r="E100" s="481"/>
      <c r="F100" s="481"/>
      <c r="G100" s="481"/>
      <c r="H100" s="481"/>
      <c r="I100" s="481"/>
      <c r="J100" s="481"/>
      <c r="K100" s="135"/>
      <c r="L100" s="73"/>
      <c r="M100" s="73"/>
      <c r="N100" s="78"/>
      <c r="O100" s="78"/>
      <c r="P100" s="78"/>
      <c r="Q100" s="78"/>
      <c r="R100" s="80"/>
    </row>
    <row r="101" spans="1:43" s="79" customFormat="1" ht="15" customHeight="1" x14ac:dyDescent="0.2">
      <c r="B101" s="210"/>
      <c r="C101" s="523" t="s">
        <v>6</v>
      </c>
      <c r="D101" s="523"/>
      <c r="E101" s="523"/>
      <c r="F101" s="523"/>
      <c r="G101" s="523"/>
      <c r="H101" s="523"/>
      <c r="I101" s="523"/>
      <c r="J101" s="523"/>
      <c r="K101" s="143"/>
      <c r="L101" s="73"/>
      <c r="M101" s="73"/>
      <c r="N101" s="78"/>
      <c r="O101" s="78"/>
      <c r="P101" s="78"/>
      <c r="Q101" s="78"/>
      <c r="R101" s="80"/>
    </row>
    <row r="102" spans="1:43" s="79" customFormat="1" ht="36" customHeight="1" thickBot="1" x14ac:dyDescent="0.25">
      <c r="B102" s="210"/>
      <c r="C102" s="524" t="s">
        <v>174</v>
      </c>
      <c r="D102" s="524"/>
      <c r="E102" s="524"/>
      <c r="F102" s="524"/>
      <c r="G102" s="524"/>
      <c r="H102" s="524"/>
      <c r="I102" s="524"/>
      <c r="J102" s="524"/>
      <c r="K102" s="332"/>
      <c r="L102" s="73"/>
      <c r="M102" s="73"/>
      <c r="N102" s="78"/>
      <c r="O102" s="78"/>
      <c r="P102" s="78"/>
      <c r="Q102" s="78"/>
      <c r="R102" s="80"/>
    </row>
    <row r="103" spans="1:43" s="79" customFormat="1" ht="15" customHeight="1" thickBot="1" x14ac:dyDescent="0.25">
      <c r="B103" s="210"/>
      <c r="C103" s="78"/>
      <c r="D103" s="78"/>
      <c r="E103" s="78"/>
      <c r="F103" s="143"/>
      <c r="G103" s="143"/>
      <c r="H103" s="143"/>
      <c r="I103" s="143"/>
      <c r="J103" s="143"/>
      <c r="K103" s="143"/>
      <c r="L103" s="489" t="s">
        <v>166</v>
      </c>
      <c r="M103" s="490"/>
      <c r="N103" s="211"/>
      <c r="O103" s="212">
        <v>0.9</v>
      </c>
      <c r="P103" s="629" t="str">
        <f>IF(N103="X",1.65,IF(N104="X",1.96,IF(N105="X",2.58,"ERROR - Seleccione un índice de confianza")))</f>
        <v>ERROR - Seleccione un índice de confianza</v>
      </c>
      <c r="Q103" s="630"/>
      <c r="R103" s="80"/>
      <c r="T103" s="691"/>
    </row>
    <row r="104" spans="1:43" s="79" customFormat="1" ht="15" customHeight="1" x14ac:dyDescent="0.2">
      <c r="B104" s="210"/>
      <c r="C104" s="654" t="s">
        <v>64</v>
      </c>
      <c r="D104" s="655"/>
      <c r="E104" s="213"/>
      <c r="F104" s="143"/>
      <c r="G104" s="143"/>
      <c r="H104" s="143"/>
      <c r="I104" s="143"/>
      <c r="J104" s="143"/>
      <c r="K104" s="143"/>
      <c r="L104" s="491"/>
      <c r="M104" s="492"/>
      <c r="N104" s="214"/>
      <c r="O104" s="215">
        <v>0.95</v>
      </c>
      <c r="P104" s="631"/>
      <c r="Q104" s="632"/>
      <c r="R104" s="80"/>
      <c r="T104" s="691"/>
    </row>
    <row r="105" spans="1:43" s="79" customFormat="1" ht="15" customHeight="1" thickBot="1" x14ac:dyDescent="0.25">
      <c r="B105" s="210"/>
      <c r="C105" s="487" t="s">
        <v>65</v>
      </c>
      <c r="D105" s="488"/>
      <c r="E105" s="216"/>
      <c r="F105" s="143"/>
      <c r="G105" s="143"/>
      <c r="H105" s="143"/>
      <c r="I105" s="143"/>
      <c r="J105" s="143"/>
      <c r="K105" s="143"/>
      <c r="L105" s="493"/>
      <c r="M105" s="494"/>
      <c r="N105" s="217"/>
      <c r="O105" s="218">
        <v>0.99</v>
      </c>
      <c r="P105" s="633"/>
      <c r="Q105" s="634"/>
      <c r="R105" s="80"/>
      <c r="T105" s="691"/>
    </row>
    <row r="106" spans="1:43" s="79" customFormat="1" ht="17" thickBot="1" x14ac:dyDescent="0.25">
      <c r="B106" s="165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80"/>
    </row>
    <row r="107" spans="1:43" s="168" customFormat="1" ht="15" customHeight="1" x14ac:dyDescent="0.2">
      <c r="A107" s="79"/>
      <c r="B107" s="165"/>
      <c r="C107" s="567" t="s">
        <v>87</v>
      </c>
      <c r="D107" s="460" t="s">
        <v>8</v>
      </c>
      <c r="E107" s="460"/>
      <c r="F107" s="460"/>
      <c r="G107" s="460"/>
      <c r="H107" s="460" t="s">
        <v>10</v>
      </c>
      <c r="I107" s="460"/>
      <c r="J107" s="460"/>
      <c r="K107" s="460"/>
      <c r="L107" s="460"/>
      <c r="M107" s="460" t="s">
        <v>9</v>
      </c>
      <c r="N107" s="529" t="str">
        <f>IF(E104="X","RR","OR")</f>
        <v>OR</v>
      </c>
      <c r="O107" s="530"/>
      <c r="P107" s="529" t="s">
        <v>90</v>
      </c>
      <c r="Q107" s="656"/>
      <c r="R107" s="219"/>
      <c r="S107" s="220"/>
      <c r="T107" s="220"/>
      <c r="U107" s="220"/>
      <c r="V107" s="220"/>
      <c r="W107" s="220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</row>
    <row r="108" spans="1:43" s="168" customFormat="1" ht="15" customHeight="1" x14ac:dyDescent="0.2">
      <c r="A108" s="79"/>
      <c r="B108" s="165"/>
      <c r="C108" s="653"/>
      <c r="D108" s="533" t="s">
        <v>7</v>
      </c>
      <c r="E108" s="533"/>
      <c r="F108" s="533" t="s">
        <v>0</v>
      </c>
      <c r="G108" s="533" t="s">
        <v>88</v>
      </c>
      <c r="H108" s="533" t="s">
        <v>7</v>
      </c>
      <c r="I108" s="533"/>
      <c r="J108" s="555" t="s">
        <v>0</v>
      </c>
      <c r="K108" s="525" t="s">
        <v>88</v>
      </c>
      <c r="L108" s="526"/>
      <c r="M108" s="533"/>
      <c r="N108" s="531"/>
      <c r="O108" s="532"/>
      <c r="P108" s="531"/>
      <c r="Q108" s="657"/>
      <c r="R108" s="219"/>
      <c r="S108" s="195"/>
      <c r="T108" s="220"/>
      <c r="U108" s="220"/>
      <c r="V108" s="220"/>
      <c r="W108" s="220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</row>
    <row r="109" spans="1:43" s="168" customFormat="1" ht="18" thickBot="1" x14ac:dyDescent="0.25">
      <c r="A109" s="79"/>
      <c r="B109" s="165"/>
      <c r="C109" s="508"/>
      <c r="D109" s="150" t="s">
        <v>74</v>
      </c>
      <c r="E109" s="150" t="s">
        <v>35</v>
      </c>
      <c r="F109" s="461"/>
      <c r="G109" s="461"/>
      <c r="H109" s="150" t="s">
        <v>74</v>
      </c>
      <c r="I109" s="150" t="s">
        <v>35</v>
      </c>
      <c r="J109" s="642"/>
      <c r="K109" s="527"/>
      <c r="L109" s="528"/>
      <c r="M109" s="461"/>
      <c r="N109" s="527"/>
      <c r="O109" s="528"/>
      <c r="P109" s="150" t="s">
        <v>38</v>
      </c>
      <c r="Q109" s="221" t="s">
        <v>39</v>
      </c>
      <c r="R109" s="222"/>
      <c r="S109" s="223"/>
      <c r="T109" s="224"/>
      <c r="U109" s="220"/>
      <c r="V109" s="220"/>
      <c r="W109" s="220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</row>
    <row r="110" spans="1:43" s="168" customFormat="1" ht="16.5" customHeight="1" x14ac:dyDescent="0.2">
      <c r="A110" s="79"/>
      <c r="B110" s="165"/>
      <c r="C110" s="225"/>
      <c r="D110" s="226"/>
      <c r="E110" s="226"/>
      <c r="F110" s="185" t="str">
        <f>IF(C110="","",(D110+E110))</f>
        <v/>
      </c>
      <c r="G110" s="227" t="str">
        <f>IF(C110="","",(D110/F110))</f>
        <v/>
      </c>
      <c r="H110" s="226"/>
      <c r="I110" s="226"/>
      <c r="J110" s="228" t="str">
        <f>IF(C110="","",(H110+I110))</f>
        <v/>
      </c>
      <c r="K110" s="593" t="str">
        <f>IF(C110="","",(H110/J110))</f>
        <v/>
      </c>
      <c r="L110" s="593"/>
      <c r="M110" s="229" t="str">
        <f>IF(C110="","",(G110-K110))</f>
        <v/>
      </c>
      <c r="N110" s="518" t="str">
        <f>IF(C110="","",IF($N$107="RR",((D110/(D110+E110))/(H110/(H110+I110))),IF($N$107="OR",((D110*I110)/(E110*H110)),"ERROR")))</f>
        <v/>
      </c>
      <c r="O110" s="518"/>
      <c r="P110" s="230" t="str">
        <f>IF(C110="","",(N110^(1-($P$103/(SQRT((($J110+$F110)*((($D110*$I110)-($E110*$H110))*(($D110*$I110)-($E110*$H110)))/(($D110+$H110)*($E110+$I110)*($D110+$E110)*($H110+$I110)))))))))</f>
        <v/>
      </c>
      <c r="Q110" s="231" t="str">
        <f t="shared" ref="Q110:Q124" si="15">IF(C110="","",(N110^(1+($P$103/(SQRT((($J110+$F110)*((($D110*$I110)-($E110*$H110))*(($D110*$I110)-($E110*$H110)))/(($D110+$H110)*($E110+$I110)*($D110+$E110)*($H110+$I110)))))))))</f>
        <v/>
      </c>
      <c r="R110" s="232" t="str">
        <f>UPPER(C110)</f>
        <v/>
      </c>
      <c r="S110" s="151" t="str">
        <f>IF(C110="","",IF($E$104="X",IF(T110&lt;&gt;$K$30,"Error - la suma de Grupo A y B debe ser igual al total de casos",""),IF(T110&lt;&gt;$N$30,"Error - la suma de Grupo A y B debe ser igual al total de expuestos","")))</f>
        <v/>
      </c>
      <c r="T110" s="233" t="e">
        <f>J110+F110</f>
        <v>#VALUE!</v>
      </c>
      <c r="U110" s="234"/>
      <c r="V110" s="220"/>
      <c r="W110" s="220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</row>
    <row r="111" spans="1:43" s="168" customFormat="1" ht="16.5" customHeight="1" x14ac:dyDescent="0.2">
      <c r="A111" s="79"/>
      <c r="B111" s="165"/>
      <c r="C111" s="82"/>
      <c r="D111" s="140"/>
      <c r="E111" s="140"/>
      <c r="F111" s="190" t="str">
        <f t="shared" ref="F111:F124" si="16">IF(C111="","",(D111+E111))</f>
        <v/>
      </c>
      <c r="G111" s="235" t="str">
        <f t="shared" ref="G111:G124" si="17">IF(C111="","",(D111/F111))</f>
        <v/>
      </c>
      <c r="H111" s="140"/>
      <c r="I111" s="140"/>
      <c r="J111" s="236" t="str">
        <f t="shared" ref="J111:J124" si="18">IF(C111="","",(H111+I111))</f>
        <v/>
      </c>
      <c r="K111" s="479" t="str">
        <f t="shared" ref="K111:K124" si="19">IF(C111="","",(H111/J111))</f>
        <v/>
      </c>
      <c r="L111" s="479"/>
      <c r="M111" s="237" t="str">
        <f t="shared" ref="M111:M124" si="20">IF(C111="","",(G111-K111))</f>
        <v/>
      </c>
      <c r="N111" s="518" t="str">
        <f t="shared" ref="N111:N124" si="21">IF(C111="","",IF($N$107="RR",((D111/(D111+E111))/(H111/(H111+I111))),IF($N$107="OR",((D111*I111)/(E111*H111)),"ERROR")))</f>
        <v/>
      </c>
      <c r="O111" s="518"/>
      <c r="P111" s="230" t="str">
        <f t="shared" ref="P111:P124" si="22">IF(C111="","",(N111^(1-($P$103/(SQRT((($J111+$F111)*((($D111*$I111)-($E111*$H111))*(($D111*$I111)-($E111*$H111)))/(($D111+$H111)*($E111+$I111)*($D111+$E111)*($H111+$I111)))))))))</f>
        <v/>
      </c>
      <c r="Q111" s="231" t="str">
        <f t="shared" si="15"/>
        <v/>
      </c>
      <c r="R111" s="232" t="str">
        <f t="shared" ref="R111:R124" si="23">UPPER(C111)</f>
        <v/>
      </c>
      <c r="S111" s="151" t="str">
        <f t="shared" ref="S111:S124" si="24">IF(C111="","",IF($E$104="X",IF(T111&lt;&gt;$K$30,"Error - la suma de Grupo A y B debe ser igual al total de casos",""),IF(T111&lt;&gt;$N$30,"Error - la suma de Grupo A y B debe ser igual al total de expuestos","")))</f>
        <v/>
      </c>
      <c r="T111" s="233" t="e">
        <f t="shared" ref="T111:T124" si="25">J111+F111</f>
        <v>#VALUE!</v>
      </c>
      <c r="U111" s="220"/>
      <c r="V111" s="220"/>
      <c r="W111" s="220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</row>
    <row r="112" spans="1:43" s="168" customFormat="1" ht="16.5" customHeight="1" x14ac:dyDescent="0.2">
      <c r="A112" s="79"/>
      <c r="B112" s="165"/>
      <c r="C112" s="82"/>
      <c r="D112" s="140"/>
      <c r="E112" s="140"/>
      <c r="F112" s="190" t="str">
        <f t="shared" si="16"/>
        <v/>
      </c>
      <c r="G112" s="235" t="str">
        <f t="shared" si="17"/>
        <v/>
      </c>
      <c r="H112" s="140"/>
      <c r="I112" s="140"/>
      <c r="J112" s="236" t="str">
        <f t="shared" si="18"/>
        <v/>
      </c>
      <c r="K112" s="479" t="str">
        <f t="shared" si="19"/>
        <v/>
      </c>
      <c r="L112" s="479"/>
      <c r="M112" s="237" t="str">
        <f t="shared" si="20"/>
        <v/>
      </c>
      <c r="N112" s="518" t="str">
        <f t="shared" si="21"/>
        <v/>
      </c>
      <c r="O112" s="518"/>
      <c r="P112" s="230" t="str">
        <f t="shared" si="22"/>
        <v/>
      </c>
      <c r="Q112" s="231" t="str">
        <f t="shared" si="15"/>
        <v/>
      </c>
      <c r="R112" s="232" t="str">
        <f t="shared" si="23"/>
        <v/>
      </c>
      <c r="S112" s="151" t="str">
        <f t="shared" si="24"/>
        <v/>
      </c>
      <c r="T112" s="233" t="e">
        <f t="shared" si="25"/>
        <v>#VALUE!</v>
      </c>
      <c r="U112" s="220"/>
      <c r="V112" s="220"/>
      <c r="W112" s="220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</row>
    <row r="113" spans="1:43" s="168" customFormat="1" ht="16.5" customHeight="1" x14ac:dyDescent="0.2">
      <c r="A113" s="79"/>
      <c r="B113" s="165"/>
      <c r="C113" s="82"/>
      <c r="D113" s="140"/>
      <c r="E113" s="140"/>
      <c r="F113" s="190" t="str">
        <f t="shared" si="16"/>
        <v/>
      </c>
      <c r="G113" s="235" t="str">
        <f t="shared" si="17"/>
        <v/>
      </c>
      <c r="H113" s="140"/>
      <c r="I113" s="140"/>
      <c r="J113" s="236" t="str">
        <f t="shared" si="18"/>
        <v/>
      </c>
      <c r="K113" s="479" t="str">
        <f t="shared" si="19"/>
        <v/>
      </c>
      <c r="L113" s="479"/>
      <c r="M113" s="237" t="str">
        <f t="shared" si="20"/>
        <v/>
      </c>
      <c r="N113" s="518" t="str">
        <f t="shared" si="21"/>
        <v/>
      </c>
      <c r="O113" s="518"/>
      <c r="P113" s="230" t="str">
        <f t="shared" si="22"/>
        <v/>
      </c>
      <c r="Q113" s="231" t="str">
        <f t="shared" si="15"/>
        <v/>
      </c>
      <c r="R113" s="232" t="str">
        <f t="shared" si="23"/>
        <v/>
      </c>
      <c r="S113" s="151" t="str">
        <f t="shared" si="24"/>
        <v/>
      </c>
      <c r="T113" s="233" t="e">
        <f t="shared" si="25"/>
        <v>#VALUE!</v>
      </c>
      <c r="U113" s="220"/>
      <c r="V113" s="220"/>
      <c r="W113" s="220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</row>
    <row r="114" spans="1:43" s="168" customFormat="1" ht="16.5" customHeight="1" x14ac:dyDescent="0.2">
      <c r="A114" s="79"/>
      <c r="B114" s="165"/>
      <c r="C114" s="82"/>
      <c r="D114" s="140"/>
      <c r="E114" s="140"/>
      <c r="F114" s="190" t="str">
        <f t="shared" si="16"/>
        <v/>
      </c>
      <c r="G114" s="235" t="str">
        <f t="shared" si="17"/>
        <v/>
      </c>
      <c r="H114" s="140"/>
      <c r="I114" s="140"/>
      <c r="J114" s="236" t="str">
        <f t="shared" si="18"/>
        <v/>
      </c>
      <c r="K114" s="479" t="str">
        <f t="shared" si="19"/>
        <v/>
      </c>
      <c r="L114" s="479"/>
      <c r="M114" s="237" t="str">
        <f t="shared" si="20"/>
        <v/>
      </c>
      <c r="N114" s="518" t="str">
        <f t="shared" si="21"/>
        <v/>
      </c>
      <c r="O114" s="518"/>
      <c r="P114" s="230" t="str">
        <f t="shared" si="22"/>
        <v/>
      </c>
      <c r="Q114" s="231" t="str">
        <f t="shared" si="15"/>
        <v/>
      </c>
      <c r="R114" s="232" t="str">
        <f t="shared" si="23"/>
        <v/>
      </c>
      <c r="S114" s="151" t="str">
        <f t="shared" si="24"/>
        <v/>
      </c>
      <c r="T114" s="233" t="e">
        <f t="shared" si="25"/>
        <v>#VALUE!</v>
      </c>
      <c r="U114" s="220"/>
      <c r="V114" s="220"/>
      <c r="W114" s="220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</row>
    <row r="115" spans="1:43" s="168" customFormat="1" ht="16.5" customHeight="1" x14ac:dyDescent="0.2">
      <c r="A115" s="79"/>
      <c r="B115" s="165"/>
      <c r="C115" s="82"/>
      <c r="D115" s="140"/>
      <c r="E115" s="140"/>
      <c r="F115" s="190" t="str">
        <f t="shared" si="16"/>
        <v/>
      </c>
      <c r="G115" s="235" t="str">
        <f>IF(C115="","",(D115/F115))</f>
        <v/>
      </c>
      <c r="H115" s="140"/>
      <c r="I115" s="140"/>
      <c r="J115" s="236" t="str">
        <f t="shared" si="18"/>
        <v/>
      </c>
      <c r="K115" s="479" t="str">
        <f t="shared" si="19"/>
        <v/>
      </c>
      <c r="L115" s="479"/>
      <c r="M115" s="237" t="str">
        <f t="shared" si="20"/>
        <v/>
      </c>
      <c r="N115" s="518" t="str">
        <f t="shared" si="21"/>
        <v/>
      </c>
      <c r="O115" s="518"/>
      <c r="P115" s="230" t="str">
        <f t="shared" si="22"/>
        <v/>
      </c>
      <c r="Q115" s="231" t="str">
        <f t="shared" si="15"/>
        <v/>
      </c>
      <c r="R115" s="232" t="str">
        <f t="shared" si="23"/>
        <v/>
      </c>
      <c r="S115" s="151" t="str">
        <f t="shared" si="24"/>
        <v/>
      </c>
      <c r="T115" s="233">
        <v>0</v>
      </c>
      <c r="U115" s="220"/>
      <c r="V115" s="220"/>
      <c r="W115" s="220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</row>
    <row r="116" spans="1:43" s="168" customFormat="1" ht="16.5" customHeight="1" x14ac:dyDescent="0.2">
      <c r="A116" s="79"/>
      <c r="B116" s="165"/>
      <c r="C116" s="82"/>
      <c r="D116" s="140"/>
      <c r="E116" s="140"/>
      <c r="F116" s="190" t="str">
        <f t="shared" si="16"/>
        <v/>
      </c>
      <c r="G116" s="235" t="str">
        <f t="shared" si="17"/>
        <v/>
      </c>
      <c r="H116" s="140"/>
      <c r="I116" s="140"/>
      <c r="J116" s="236" t="str">
        <f t="shared" si="18"/>
        <v/>
      </c>
      <c r="K116" s="479" t="str">
        <f t="shared" si="19"/>
        <v/>
      </c>
      <c r="L116" s="479"/>
      <c r="M116" s="237" t="str">
        <f t="shared" si="20"/>
        <v/>
      </c>
      <c r="N116" s="518" t="str">
        <f t="shared" si="21"/>
        <v/>
      </c>
      <c r="O116" s="518"/>
      <c r="P116" s="230" t="str">
        <f t="shared" si="22"/>
        <v/>
      </c>
      <c r="Q116" s="231" t="str">
        <f t="shared" si="15"/>
        <v/>
      </c>
      <c r="R116" s="232" t="str">
        <f t="shared" si="23"/>
        <v/>
      </c>
      <c r="S116" s="151" t="str">
        <f t="shared" si="24"/>
        <v/>
      </c>
      <c r="T116" s="233" t="e">
        <f>J116+F116</f>
        <v>#VALUE!</v>
      </c>
      <c r="U116" s="220"/>
      <c r="V116" s="220"/>
      <c r="W116" s="220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</row>
    <row r="117" spans="1:43" s="168" customFormat="1" ht="16.5" customHeight="1" x14ac:dyDescent="0.2">
      <c r="A117" s="79"/>
      <c r="B117" s="165"/>
      <c r="C117" s="82"/>
      <c r="D117" s="140"/>
      <c r="E117" s="140"/>
      <c r="F117" s="190" t="str">
        <f t="shared" si="16"/>
        <v/>
      </c>
      <c r="G117" s="235" t="str">
        <f t="shared" si="17"/>
        <v/>
      </c>
      <c r="H117" s="140"/>
      <c r="I117" s="140"/>
      <c r="J117" s="236" t="str">
        <f t="shared" si="18"/>
        <v/>
      </c>
      <c r="K117" s="479" t="str">
        <f t="shared" si="19"/>
        <v/>
      </c>
      <c r="L117" s="479"/>
      <c r="M117" s="237" t="str">
        <f t="shared" si="20"/>
        <v/>
      </c>
      <c r="N117" s="518" t="str">
        <f t="shared" si="21"/>
        <v/>
      </c>
      <c r="O117" s="518"/>
      <c r="P117" s="230" t="str">
        <f t="shared" si="22"/>
        <v/>
      </c>
      <c r="Q117" s="231" t="str">
        <f t="shared" si="15"/>
        <v/>
      </c>
      <c r="R117" s="232" t="str">
        <f t="shared" si="23"/>
        <v/>
      </c>
      <c r="S117" s="151" t="str">
        <f t="shared" si="24"/>
        <v/>
      </c>
      <c r="T117" s="233" t="e">
        <f t="shared" si="25"/>
        <v>#VALUE!</v>
      </c>
      <c r="U117" s="220"/>
      <c r="V117" s="220"/>
      <c r="W117" s="220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</row>
    <row r="118" spans="1:43" s="168" customFormat="1" ht="16.5" customHeight="1" x14ac:dyDescent="0.2">
      <c r="A118" s="79"/>
      <c r="B118" s="165"/>
      <c r="C118" s="82"/>
      <c r="D118" s="140"/>
      <c r="E118" s="140"/>
      <c r="F118" s="190" t="str">
        <f t="shared" si="16"/>
        <v/>
      </c>
      <c r="G118" s="235" t="str">
        <f t="shared" si="17"/>
        <v/>
      </c>
      <c r="H118" s="140"/>
      <c r="I118" s="140"/>
      <c r="J118" s="236" t="str">
        <f t="shared" si="18"/>
        <v/>
      </c>
      <c r="K118" s="479" t="str">
        <f t="shared" si="19"/>
        <v/>
      </c>
      <c r="L118" s="479"/>
      <c r="M118" s="237" t="str">
        <f t="shared" si="20"/>
        <v/>
      </c>
      <c r="N118" s="518" t="str">
        <f t="shared" si="21"/>
        <v/>
      </c>
      <c r="O118" s="518"/>
      <c r="P118" s="230" t="str">
        <f t="shared" si="22"/>
        <v/>
      </c>
      <c r="Q118" s="231" t="str">
        <f t="shared" si="15"/>
        <v/>
      </c>
      <c r="R118" s="232" t="str">
        <f t="shared" si="23"/>
        <v/>
      </c>
      <c r="S118" s="151" t="str">
        <f t="shared" si="24"/>
        <v/>
      </c>
      <c r="T118" s="233" t="e">
        <f t="shared" si="25"/>
        <v>#VALUE!</v>
      </c>
      <c r="U118" s="220"/>
      <c r="V118" s="220"/>
      <c r="W118" s="220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</row>
    <row r="119" spans="1:43" s="168" customFormat="1" ht="16.5" customHeight="1" x14ac:dyDescent="0.2">
      <c r="A119" s="79"/>
      <c r="B119" s="165"/>
      <c r="C119" s="82"/>
      <c r="D119" s="140"/>
      <c r="E119" s="140"/>
      <c r="F119" s="190" t="str">
        <f t="shared" si="16"/>
        <v/>
      </c>
      <c r="G119" s="235" t="str">
        <f t="shared" si="17"/>
        <v/>
      </c>
      <c r="H119" s="140"/>
      <c r="I119" s="140"/>
      <c r="J119" s="236" t="str">
        <f t="shared" si="18"/>
        <v/>
      </c>
      <c r="K119" s="479" t="str">
        <f t="shared" si="19"/>
        <v/>
      </c>
      <c r="L119" s="479"/>
      <c r="M119" s="237" t="str">
        <f t="shared" si="20"/>
        <v/>
      </c>
      <c r="N119" s="518" t="str">
        <f t="shared" si="21"/>
        <v/>
      </c>
      <c r="O119" s="518"/>
      <c r="P119" s="230" t="str">
        <f t="shared" si="22"/>
        <v/>
      </c>
      <c r="Q119" s="231" t="str">
        <f t="shared" si="15"/>
        <v/>
      </c>
      <c r="R119" s="232" t="str">
        <f t="shared" si="23"/>
        <v/>
      </c>
      <c r="S119" s="151" t="str">
        <f t="shared" si="24"/>
        <v/>
      </c>
      <c r="T119" s="233" t="e">
        <f t="shared" si="25"/>
        <v>#VALUE!</v>
      </c>
      <c r="U119" s="220"/>
      <c r="V119" s="220"/>
      <c r="W119" s="220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</row>
    <row r="120" spans="1:43" s="168" customFormat="1" ht="16.5" customHeight="1" x14ac:dyDescent="0.2">
      <c r="A120" s="79"/>
      <c r="B120" s="165"/>
      <c r="C120" s="82"/>
      <c r="D120" s="140"/>
      <c r="E120" s="140"/>
      <c r="F120" s="190" t="str">
        <f t="shared" si="16"/>
        <v/>
      </c>
      <c r="G120" s="235" t="str">
        <f t="shared" si="17"/>
        <v/>
      </c>
      <c r="H120" s="140"/>
      <c r="I120" s="140"/>
      <c r="J120" s="236" t="str">
        <f t="shared" si="18"/>
        <v/>
      </c>
      <c r="K120" s="479" t="str">
        <f t="shared" si="19"/>
        <v/>
      </c>
      <c r="L120" s="479"/>
      <c r="M120" s="237" t="str">
        <f t="shared" si="20"/>
        <v/>
      </c>
      <c r="N120" s="518" t="str">
        <f t="shared" si="21"/>
        <v/>
      </c>
      <c r="O120" s="518"/>
      <c r="P120" s="230" t="str">
        <f t="shared" si="22"/>
        <v/>
      </c>
      <c r="Q120" s="231" t="str">
        <f t="shared" si="15"/>
        <v/>
      </c>
      <c r="R120" s="232" t="str">
        <f t="shared" si="23"/>
        <v/>
      </c>
      <c r="S120" s="151" t="str">
        <f t="shared" si="24"/>
        <v/>
      </c>
      <c r="T120" s="233" t="e">
        <f t="shared" si="25"/>
        <v>#VALUE!</v>
      </c>
      <c r="U120" s="220"/>
      <c r="V120" s="220"/>
      <c r="W120" s="220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</row>
    <row r="121" spans="1:43" s="168" customFormat="1" ht="16.5" customHeight="1" x14ac:dyDescent="0.2">
      <c r="A121" s="79"/>
      <c r="B121" s="165"/>
      <c r="C121" s="82"/>
      <c r="D121" s="140"/>
      <c r="E121" s="140"/>
      <c r="F121" s="190" t="str">
        <f t="shared" si="16"/>
        <v/>
      </c>
      <c r="G121" s="235" t="str">
        <f t="shared" si="17"/>
        <v/>
      </c>
      <c r="H121" s="140"/>
      <c r="I121" s="140"/>
      <c r="J121" s="236" t="str">
        <f t="shared" si="18"/>
        <v/>
      </c>
      <c r="K121" s="479" t="str">
        <f t="shared" si="19"/>
        <v/>
      </c>
      <c r="L121" s="479"/>
      <c r="M121" s="238" t="str">
        <f t="shared" si="20"/>
        <v/>
      </c>
      <c r="N121" s="518" t="str">
        <f t="shared" si="21"/>
        <v/>
      </c>
      <c r="O121" s="518"/>
      <c r="P121" s="230" t="str">
        <f t="shared" si="22"/>
        <v/>
      </c>
      <c r="Q121" s="231" t="str">
        <f t="shared" si="15"/>
        <v/>
      </c>
      <c r="R121" s="232" t="str">
        <f t="shared" si="23"/>
        <v/>
      </c>
      <c r="S121" s="151" t="str">
        <f t="shared" si="24"/>
        <v/>
      </c>
      <c r="T121" s="233" t="e">
        <f t="shared" si="25"/>
        <v>#VALUE!</v>
      </c>
      <c r="U121" s="220"/>
      <c r="V121" s="220"/>
      <c r="W121" s="220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</row>
    <row r="122" spans="1:43" s="168" customFormat="1" ht="16.5" customHeight="1" x14ac:dyDescent="0.2">
      <c r="A122" s="79"/>
      <c r="B122" s="165"/>
      <c r="C122" s="82"/>
      <c r="D122" s="140"/>
      <c r="E122" s="140"/>
      <c r="F122" s="190" t="str">
        <f t="shared" si="16"/>
        <v/>
      </c>
      <c r="G122" s="235" t="str">
        <f t="shared" si="17"/>
        <v/>
      </c>
      <c r="H122" s="140"/>
      <c r="I122" s="140"/>
      <c r="J122" s="236" t="str">
        <f t="shared" si="18"/>
        <v/>
      </c>
      <c r="K122" s="479" t="str">
        <f t="shared" si="19"/>
        <v/>
      </c>
      <c r="L122" s="479"/>
      <c r="M122" s="238" t="str">
        <f t="shared" si="20"/>
        <v/>
      </c>
      <c r="N122" s="518" t="str">
        <f t="shared" si="21"/>
        <v/>
      </c>
      <c r="O122" s="518"/>
      <c r="P122" s="230" t="str">
        <f t="shared" si="22"/>
        <v/>
      </c>
      <c r="Q122" s="231" t="str">
        <f t="shared" si="15"/>
        <v/>
      </c>
      <c r="R122" s="232" t="str">
        <f t="shared" si="23"/>
        <v/>
      </c>
      <c r="S122" s="151" t="str">
        <f t="shared" si="24"/>
        <v/>
      </c>
      <c r="T122" s="233" t="e">
        <f t="shared" si="25"/>
        <v>#VALUE!</v>
      </c>
      <c r="U122" s="220"/>
      <c r="V122" s="220"/>
      <c r="W122" s="220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</row>
    <row r="123" spans="1:43" s="168" customFormat="1" ht="16.5" customHeight="1" x14ac:dyDescent="0.2">
      <c r="A123" s="79"/>
      <c r="B123" s="165"/>
      <c r="C123" s="82"/>
      <c r="D123" s="140"/>
      <c r="E123" s="140"/>
      <c r="F123" s="190" t="str">
        <f t="shared" si="16"/>
        <v/>
      </c>
      <c r="G123" s="235" t="str">
        <f t="shared" si="17"/>
        <v/>
      </c>
      <c r="H123" s="140"/>
      <c r="I123" s="140"/>
      <c r="J123" s="236" t="str">
        <f t="shared" si="18"/>
        <v/>
      </c>
      <c r="K123" s="479" t="str">
        <f t="shared" si="19"/>
        <v/>
      </c>
      <c r="L123" s="479"/>
      <c r="M123" s="238" t="str">
        <f t="shared" si="20"/>
        <v/>
      </c>
      <c r="N123" s="518" t="str">
        <f t="shared" si="21"/>
        <v/>
      </c>
      <c r="O123" s="518"/>
      <c r="P123" s="230" t="str">
        <f t="shared" si="22"/>
        <v/>
      </c>
      <c r="Q123" s="231" t="str">
        <f t="shared" si="15"/>
        <v/>
      </c>
      <c r="R123" s="232" t="str">
        <f t="shared" si="23"/>
        <v/>
      </c>
      <c r="S123" s="151" t="str">
        <f t="shared" si="24"/>
        <v/>
      </c>
      <c r="T123" s="233" t="e">
        <f t="shared" si="25"/>
        <v>#VALUE!</v>
      </c>
      <c r="U123" s="220"/>
      <c r="V123" s="220"/>
      <c r="W123" s="220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</row>
    <row r="124" spans="1:43" s="168" customFormat="1" ht="16.5" customHeight="1" thickBot="1" x14ac:dyDescent="0.25">
      <c r="A124" s="79"/>
      <c r="B124" s="165"/>
      <c r="C124" s="83"/>
      <c r="D124" s="152"/>
      <c r="E124" s="152"/>
      <c r="F124" s="239" t="str">
        <f t="shared" si="16"/>
        <v/>
      </c>
      <c r="G124" s="240" t="str">
        <f t="shared" si="17"/>
        <v/>
      </c>
      <c r="H124" s="152"/>
      <c r="I124" s="152"/>
      <c r="J124" s="241" t="str">
        <f t="shared" si="18"/>
        <v/>
      </c>
      <c r="K124" s="522" t="str">
        <f t="shared" si="19"/>
        <v/>
      </c>
      <c r="L124" s="522"/>
      <c r="M124" s="242" t="str">
        <f t="shared" si="20"/>
        <v/>
      </c>
      <c r="N124" s="694" t="str">
        <f t="shared" si="21"/>
        <v/>
      </c>
      <c r="O124" s="694"/>
      <c r="P124" s="243" t="str">
        <f t="shared" si="22"/>
        <v/>
      </c>
      <c r="Q124" s="244" t="str">
        <f t="shared" si="15"/>
        <v/>
      </c>
      <c r="R124" s="232" t="str">
        <f t="shared" si="23"/>
        <v/>
      </c>
      <c r="S124" s="151" t="str">
        <f t="shared" si="24"/>
        <v/>
      </c>
      <c r="T124" s="233" t="e">
        <f t="shared" si="25"/>
        <v>#VALUE!</v>
      </c>
      <c r="U124" s="220"/>
      <c r="V124" s="220"/>
      <c r="W124" s="220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</row>
    <row r="125" spans="1:43" ht="12" customHeight="1" thickBot="1" x14ac:dyDescent="0.25"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7"/>
      <c r="S125" s="156"/>
      <c r="T125" s="76"/>
    </row>
    <row r="126" spans="1:43" ht="19.5" customHeight="1" x14ac:dyDescent="0.2">
      <c r="B126" s="48"/>
      <c r="C126" s="536" t="s">
        <v>57</v>
      </c>
      <c r="D126" s="537"/>
      <c r="E126" s="537"/>
      <c r="F126" s="537"/>
      <c r="G126" s="537"/>
      <c r="H126" s="537"/>
      <c r="I126" s="537"/>
      <c r="J126" s="537"/>
      <c r="K126" s="537"/>
      <c r="L126" s="537"/>
      <c r="M126" s="537"/>
      <c r="N126" s="537"/>
      <c r="O126" s="537"/>
      <c r="P126" s="537"/>
      <c r="Q126" s="538"/>
      <c r="R126" s="47"/>
      <c r="S126" s="157"/>
      <c r="T126" s="76"/>
    </row>
    <row r="127" spans="1:43" ht="29.25" customHeight="1" thickBot="1" x14ac:dyDescent="0.25">
      <c r="B127" s="48"/>
      <c r="C127" s="679" t="e">
        <f>"Las personas que consumieron el "&amp;VLOOKUP(MAXA(N110:N124),$N$110:$R$124,5,0)&amp;" tienen, en promedio "&amp;ROUND(MAXA(N110:N124),1)&amp;" veces el riesgo de enfermar que los que no consumieron el alimento"</f>
        <v>#N/A</v>
      </c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0"/>
      <c r="P127" s="680"/>
      <c r="Q127" s="681"/>
      <c r="R127" s="47"/>
      <c r="S127" s="114"/>
      <c r="T127" s="76"/>
    </row>
    <row r="128" spans="1:43" ht="19" x14ac:dyDescent="0.2">
      <c r="B128" s="48"/>
      <c r="C128" s="475" t="s">
        <v>176</v>
      </c>
      <c r="D128" s="475"/>
      <c r="E128" s="475"/>
      <c r="F128" s="475"/>
      <c r="G128" s="475"/>
      <c r="H128" s="475"/>
      <c r="I128" s="475"/>
      <c r="J128" s="475"/>
      <c r="K128" s="475"/>
      <c r="L128" s="475"/>
      <c r="M128" s="475"/>
      <c r="N128" s="475"/>
      <c r="O128" s="475"/>
      <c r="P128" s="475"/>
      <c r="Q128" s="475"/>
      <c r="R128" s="47"/>
      <c r="S128" s="114"/>
    </row>
    <row r="129" spans="1:43" ht="42.75" customHeight="1" x14ac:dyDescent="0.2">
      <c r="B129" s="48"/>
      <c r="C129" s="594"/>
      <c r="D129" s="594"/>
      <c r="E129" s="594"/>
      <c r="F129" s="594"/>
      <c r="G129" s="594"/>
      <c r="H129" s="594"/>
      <c r="I129" s="594"/>
      <c r="J129" s="594"/>
      <c r="K129" s="594"/>
      <c r="L129" s="594"/>
      <c r="M129" s="594"/>
      <c r="N129" s="594"/>
      <c r="O129" s="594"/>
      <c r="P129" s="594"/>
      <c r="Q129" s="594"/>
      <c r="R129" s="47"/>
    </row>
    <row r="130" spans="1:43" ht="15" customHeight="1" x14ac:dyDescent="0.2">
      <c r="B130" s="70"/>
      <c r="C130" s="481" t="s">
        <v>159</v>
      </c>
      <c r="D130" s="481"/>
      <c r="E130" s="481"/>
      <c r="F130" s="481"/>
      <c r="G130" s="481"/>
      <c r="H130" s="481"/>
      <c r="I130" s="481"/>
      <c r="J130" s="481"/>
      <c r="K130" s="481"/>
      <c r="L130" s="481"/>
      <c r="M130" s="481"/>
      <c r="N130" s="481"/>
      <c r="O130" s="71"/>
      <c r="P130" s="71"/>
      <c r="Q130" s="71"/>
      <c r="R130" s="47"/>
    </row>
    <row r="131" spans="1:43" ht="9" customHeight="1" thickBot="1" x14ac:dyDescent="0.25"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7"/>
    </row>
    <row r="132" spans="1:43" s="75" customFormat="1" ht="33.75" customHeight="1" thickBot="1" x14ac:dyDescent="0.25">
      <c r="A132" s="88"/>
      <c r="B132" s="77"/>
      <c r="C132" s="153" t="s">
        <v>36</v>
      </c>
      <c r="D132" s="519" t="s">
        <v>89</v>
      </c>
      <c r="E132" s="521"/>
      <c r="F132" s="519" t="s">
        <v>127</v>
      </c>
      <c r="G132" s="521"/>
      <c r="H132" s="519" t="s">
        <v>129</v>
      </c>
      <c r="I132" s="521"/>
      <c r="J132" s="519" t="s">
        <v>11</v>
      </c>
      <c r="K132" s="520"/>
      <c r="L132" s="521"/>
      <c r="M132" s="519" t="s">
        <v>128</v>
      </c>
      <c r="N132" s="520"/>
      <c r="O132" s="539"/>
      <c r="P132" s="74"/>
      <c r="Q132" s="103"/>
      <c r="R132" s="47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</row>
    <row r="133" spans="1:43" s="75" customFormat="1" ht="28.5" customHeight="1" x14ac:dyDescent="0.2">
      <c r="A133" s="88"/>
      <c r="B133" s="48"/>
      <c r="C133" s="225"/>
      <c r="D133" s="640" t="str">
        <f>IF(C133="","",$K$30)</f>
        <v/>
      </c>
      <c r="E133" s="641"/>
      <c r="F133" s="438"/>
      <c r="G133" s="592"/>
      <c r="H133" s="627" t="str">
        <f>IF(C133="","",(D133-F133))</f>
        <v/>
      </c>
      <c r="I133" s="628"/>
      <c r="J133" s="578" t="str">
        <f>IF(C133="","",(F133/$D$133))</f>
        <v/>
      </c>
      <c r="K133" s="579"/>
      <c r="L133" s="595"/>
      <c r="M133" s="578" t="str">
        <f>IF(C133="","",(F133/H133))</f>
        <v/>
      </c>
      <c r="N133" s="579"/>
      <c r="O133" s="580"/>
      <c r="P133" s="104"/>
      <c r="Q133" s="105" t="str">
        <f>UPPER(C133)</f>
        <v/>
      </c>
      <c r="R133" s="106"/>
      <c r="S133" s="125" t="str">
        <f>IF(C133="","",IF(D133&gt;F133,"","Error - El total de expuestos NO puede ser igual o superior al total de casos, digite al menos un caso menos"))</f>
        <v/>
      </c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</row>
    <row r="134" spans="1:43" s="75" customFormat="1" ht="28.5" customHeight="1" x14ac:dyDescent="0.2">
      <c r="A134" s="88"/>
      <c r="B134" s="48"/>
      <c r="C134" s="82"/>
      <c r="D134" s="473" t="str">
        <f t="shared" ref="D134:D144" si="26">IF(C134="","",$K$30)</f>
        <v/>
      </c>
      <c r="E134" s="474"/>
      <c r="F134" s="482"/>
      <c r="G134" s="483"/>
      <c r="H134" s="484" t="str">
        <f t="shared" ref="H134:H144" si="27">IF(C134="","",(D134-F134))</f>
        <v/>
      </c>
      <c r="I134" s="485"/>
      <c r="J134" s="514" t="str">
        <f t="shared" ref="J134:J144" si="28">IF(C134="","",(F134/$D$133))</f>
        <v/>
      </c>
      <c r="K134" s="515"/>
      <c r="L134" s="517"/>
      <c r="M134" s="514" t="str">
        <f t="shared" ref="M134:M144" si="29">IF(C134="","",(F134/H134))</f>
        <v/>
      </c>
      <c r="N134" s="515"/>
      <c r="O134" s="516"/>
      <c r="P134" s="104"/>
      <c r="Q134" s="105" t="str">
        <f t="shared" ref="Q134:Q144" si="30">UPPER(C134)</f>
        <v/>
      </c>
      <c r="R134" s="106"/>
      <c r="S134" s="125" t="str">
        <f t="shared" ref="S134:S144" si="31">IF(C134="","",IF(D134&gt;F134,"","Error - El total de expuestos NO puede ser igual o superior al total de casos, digite al menos un caso menos"))</f>
        <v/>
      </c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</row>
    <row r="135" spans="1:43" s="75" customFormat="1" ht="28.5" customHeight="1" x14ac:dyDescent="0.2">
      <c r="A135" s="88"/>
      <c r="B135" s="48"/>
      <c r="C135" s="82"/>
      <c r="D135" s="473" t="str">
        <f t="shared" si="26"/>
        <v/>
      </c>
      <c r="E135" s="474"/>
      <c r="F135" s="482"/>
      <c r="G135" s="483"/>
      <c r="H135" s="484" t="str">
        <f t="shared" si="27"/>
        <v/>
      </c>
      <c r="I135" s="485"/>
      <c r="J135" s="514" t="str">
        <f t="shared" si="28"/>
        <v/>
      </c>
      <c r="K135" s="515"/>
      <c r="L135" s="517"/>
      <c r="M135" s="514" t="str">
        <f t="shared" si="29"/>
        <v/>
      </c>
      <c r="N135" s="515"/>
      <c r="O135" s="516"/>
      <c r="P135" s="104"/>
      <c r="Q135" s="105" t="str">
        <f t="shared" si="30"/>
        <v/>
      </c>
      <c r="R135" s="106"/>
      <c r="S135" s="125" t="str">
        <f t="shared" si="31"/>
        <v/>
      </c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</row>
    <row r="136" spans="1:43" s="75" customFormat="1" ht="28.5" customHeight="1" x14ac:dyDescent="0.2">
      <c r="A136" s="88"/>
      <c r="B136" s="48"/>
      <c r="C136" s="82"/>
      <c r="D136" s="473" t="str">
        <f t="shared" si="26"/>
        <v/>
      </c>
      <c r="E136" s="474"/>
      <c r="F136" s="482"/>
      <c r="G136" s="483"/>
      <c r="H136" s="484" t="str">
        <f t="shared" si="27"/>
        <v/>
      </c>
      <c r="I136" s="485"/>
      <c r="J136" s="514" t="str">
        <f t="shared" si="28"/>
        <v/>
      </c>
      <c r="K136" s="515"/>
      <c r="L136" s="517"/>
      <c r="M136" s="514" t="str">
        <f t="shared" si="29"/>
        <v/>
      </c>
      <c r="N136" s="515"/>
      <c r="O136" s="516"/>
      <c r="P136" s="104"/>
      <c r="Q136" s="105" t="str">
        <f t="shared" si="30"/>
        <v/>
      </c>
      <c r="R136" s="106"/>
      <c r="S136" s="125" t="str">
        <f t="shared" si="31"/>
        <v/>
      </c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</row>
    <row r="137" spans="1:43" s="75" customFormat="1" ht="28.5" customHeight="1" x14ac:dyDescent="0.2">
      <c r="A137" s="88"/>
      <c r="B137" s="48"/>
      <c r="C137" s="82"/>
      <c r="D137" s="473" t="str">
        <f t="shared" si="26"/>
        <v/>
      </c>
      <c r="E137" s="474"/>
      <c r="F137" s="482"/>
      <c r="G137" s="483"/>
      <c r="H137" s="484" t="str">
        <f t="shared" si="27"/>
        <v/>
      </c>
      <c r="I137" s="485"/>
      <c r="J137" s="514" t="str">
        <f t="shared" si="28"/>
        <v/>
      </c>
      <c r="K137" s="515"/>
      <c r="L137" s="517"/>
      <c r="M137" s="514" t="str">
        <f t="shared" si="29"/>
        <v/>
      </c>
      <c r="N137" s="515"/>
      <c r="O137" s="516"/>
      <c r="P137" s="104"/>
      <c r="Q137" s="105" t="str">
        <f t="shared" si="30"/>
        <v/>
      </c>
      <c r="R137" s="106"/>
      <c r="S137" s="125" t="str">
        <f t="shared" si="31"/>
        <v/>
      </c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</row>
    <row r="138" spans="1:43" s="75" customFormat="1" ht="28.5" customHeight="1" x14ac:dyDescent="0.2">
      <c r="A138" s="88"/>
      <c r="B138" s="48"/>
      <c r="C138" s="82"/>
      <c r="D138" s="473" t="str">
        <f t="shared" si="26"/>
        <v/>
      </c>
      <c r="E138" s="474"/>
      <c r="F138" s="482"/>
      <c r="G138" s="483"/>
      <c r="H138" s="484" t="str">
        <f t="shared" si="27"/>
        <v/>
      </c>
      <c r="I138" s="485"/>
      <c r="J138" s="514" t="str">
        <f t="shared" si="28"/>
        <v/>
      </c>
      <c r="K138" s="515"/>
      <c r="L138" s="517"/>
      <c r="M138" s="514" t="str">
        <f t="shared" si="29"/>
        <v/>
      </c>
      <c r="N138" s="515"/>
      <c r="O138" s="516"/>
      <c r="P138" s="104"/>
      <c r="Q138" s="105" t="str">
        <f t="shared" si="30"/>
        <v/>
      </c>
      <c r="R138" s="106"/>
      <c r="S138" s="125" t="str">
        <f t="shared" si="31"/>
        <v/>
      </c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</row>
    <row r="139" spans="1:43" s="75" customFormat="1" ht="28.5" customHeight="1" x14ac:dyDescent="0.2">
      <c r="A139" s="88"/>
      <c r="B139" s="48"/>
      <c r="C139" s="82"/>
      <c r="D139" s="473" t="str">
        <f t="shared" si="26"/>
        <v/>
      </c>
      <c r="E139" s="474"/>
      <c r="F139" s="482"/>
      <c r="G139" s="483"/>
      <c r="H139" s="484" t="str">
        <f t="shared" si="27"/>
        <v/>
      </c>
      <c r="I139" s="485"/>
      <c r="J139" s="514" t="str">
        <f t="shared" si="28"/>
        <v/>
      </c>
      <c r="K139" s="515"/>
      <c r="L139" s="517"/>
      <c r="M139" s="514" t="str">
        <f t="shared" si="29"/>
        <v/>
      </c>
      <c r="N139" s="515"/>
      <c r="O139" s="516"/>
      <c r="P139" s="104"/>
      <c r="Q139" s="105" t="str">
        <f t="shared" si="30"/>
        <v/>
      </c>
      <c r="R139" s="106"/>
      <c r="S139" s="125" t="str">
        <f t="shared" si="31"/>
        <v/>
      </c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</row>
    <row r="140" spans="1:43" s="75" customFormat="1" ht="28.5" customHeight="1" x14ac:dyDescent="0.2">
      <c r="A140" s="88"/>
      <c r="B140" s="48"/>
      <c r="C140" s="82"/>
      <c r="D140" s="473" t="str">
        <f t="shared" si="26"/>
        <v/>
      </c>
      <c r="E140" s="474"/>
      <c r="F140" s="482"/>
      <c r="G140" s="483"/>
      <c r="H140" s="484"/>
      <c r="I140" s="485"/>
      <c r="J140" s="514" t="str">
        <f t="shared" si="28"/>
        <v/>
      </c>
      <c r="K140" s="515"/>
      <c r="L140" s="517"/>
      <c r="M140" s="514" t="str">
        <f t="shared" si="29"/>
        <v/>
      </c>
      <c r="N140" s="515"/>
      <c r="O140" s="516"/>
      <c r="P140" s="104"/>
      <c r="Q140" s="105" t="str">
        <f t="shared" si="30"/>
        <v/>
      </c>
      <c r="R140" s="106"/>
      <c r="S140" s="125" t="str">
        <f t="shared" si="31"/>
        <v/>
      </c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</row>
    <row r="141" spans="1:43" s="75" customFormat="1" ht="28.5" customHeight="1" x14ac:dyDescent="0.2">
      <c r="A141" s="88"/>
      <c r="B141" s="48"/>
      <c r="C141" s="82"/>
      <c r="D141" s="473" t="str">
        <f t="shared" si="26"/>
        <v/>
      </c>
      <c r="E141" s="474"/>
      <c r="F141" s="482"/>
      <c r="G141" s="483"/>
      <c r="H141" s="484" t="str">
        <f t="shared" si="27"/>
        <v/>
      </c>
      <c r="I141" s="485"/>
      <c r="J141" s="514" t="str">
        <f t="shared" si="28"/>
        <v/>
      </c>
      <c r="K141" s="515"/>
      <c r="L141" s="517"/>
      <c r="M141" s="514" t="str">
        <f t="shared" si="29"/>
        <v/>
      </c>
      <c r="N141" s="515"/>
      <c r="O141" s="516"/>
      <c r="P141" s="104"/>
      <c r="Q141" s="105" t="str">
        <f t="shared" si="30"/>
        <v/>
      </c>
      <c r="R141" s="106"/>
      <c r="S141" s="125" t="str">
        <f t="shared" si="31"/>
        <v/>
      </c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</row>
    <row r="142" spans="1:43" s="75" customFormat="1" ht="28.5" customHeight="1" x14ac:dyDescent="0.2">
      <c r="A142" s="88"/>
      <c r="B142" s="48"/>
      <c r="C142" s="82"/>
      <c r="D142" s="473" t="str">
        <f t="shared" si="26"/>
        <v/>
      </c>
      <c r="E142" s="474"/>
      <c r="F142" s="482"/>
      <c r="G142" s="483"/>
      <c r="H142" s="484" t="str">
        <f t="shared" si="27"/>
        <v/>
      </c>
      <c r="I142" s="485"/>
      <c r="J142" s="514" t="str">
        <f t="shared" si="28"/>
        <v/>
      </c>
      <c r="K142" s="515"/>
      <c r="L142" s="517"/>
      <c r="M142" s="514" t="str">
        <f t="shared" si="29"/>
        <v/>
      </c>
      <c r="N142" s="515"/>
      <c r="O142" s="516"/>
      <c r="P142" s="104"/>
      <c r="Q142" s="105" t="str">
        <f t="shared" si="30"/>
        <v/>
      </c>
      <c r="R142" s="106"/>
      <c r="S142" s="125" t="str">
        <f t="shared" si="31"/>
        <v/>
      </c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</row>
    <row r="143" spans="1:43" s="75" customFormat="1" ht="28.5" customHeight="1" x14ac:dyDescent="0.2">
      <c r="A143" s="88"/>
      <c r="B143" s="48"/>
      <c r="C143" s="82"/>
      <c r="D143" s="473" t="str">
        <f t="shared" si="26"/>
        <v/>
      </c>
      <c r="E143" s="474"/>
      <c r="F143" s="482"/>
      <c r="G143" s="483"/>
      <c r="H143" s="484" t="str">
        <f t="shared" si="27"/>
        <v/>
      </c>
      <c r="I143" s="485"/>
      <c r="J143" s="514" t="str">
        <f t="shared" si="28"/>
        <v/>
      </c>
      <c r="K143" s="515"/>
      <c r="L143" s="517"/>
      <c r="M143" s="514" t="str">
        <f t="shared" si="29"/>
        <v/>
      </c>
      <c r="N143" s="515"/>
      <c r="O143" s="516"/>
      <c r="P143" s="104"/>
      <c r="Q143" s="105" t="str">
        <f t="shared" si="30"/>
        <v/>
      </c>
      <c r="R143" s="106"/>
      <c r="S143" s="125" t="str">
        <f t="shared" si="31"/>
        <v/>
      </c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</row>
    <row r="144" spans="1:43" s="75" customFormat="1" ht="28.5" customHeight="1" thickBot="1" x14ac:dyDescent="0.25">
      <c r="A144" s="88"/>
      <c r="B144" s="48"/>
      <c r="C144" s="83"/>
      <c r="D144" s="534" t="str">
        <f t="shared" si="26"/>
        <v/>
      </c>
      <c r="E144" s="535"/>
      <c r="F144" s="600"/>
      <c r="G144" s="601"/>
      <c r="H144" s="574" t="str">
        <f t="shared" si="27"/>
        <v/>
      </c>
      <c r="I144" s="575"/>
      <c r="J144" s="604" t="str">
        <f t="shared" si="28"/>
        <v/>
      </c>
      <c r="K144" s="605"/>
      <c r="L144" s="606"/>
      <c r="M144" s="604" t="str">
        <f t="shared" si="29"/>
        <v/>
      </c>
      <c r="N144" s="605"/>
      <c r="O144" s="683"/>
      <c r="P144" s="104"/>
      <c r="Q144" s="105" t="str">
        <f t="shared" si="30"/>
        <v/>
      </c>
      <c r="R144" s="106"/>
      <c r="S144" s="125" t="str">
        <f t="shared" si="31"/>
        <v/>
      </c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</row>
    <row r="145" spans="1:43" ht="10.5" customHeight="1" thickBot="1" x14ac:dyDescent="0.25"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7"/>
    </row>
    <row r="146" spans="1:43" ht="18.75" customHeight="1" x14ac:dyDescent="0.2">
      <c r="B146" s="48"/>
      <c r="C146" s="589" t="s">
        <v>57</v>
      </c>
      <c r="D146" s="590"/>
      <c r="E146" s="590"/>
      <c r="F146" s="590"/>
      <c r="G146" s="590"/>
      <c r="H146" s="590"/>
      <c r="I146" s="590"/>
      <c r="J146" s="590"/>
      <c r="K146" s="590"/>
      <c r="L146" s="590"/>
      <c r="M146" s="590"/>
      <c r="N146" s="590"/>
      <c r="O146" s="590"/>
      <c r="P146" s="590"/>
      <c r="Q146" s="682"/>
      <c r="R146" s="47"/>
      <c r="S146" s="40"/>
    </row>
    <row r="147" spans="1:43" ht="39" customHeight="1" thickBot="1" x14ac:dyDescent="0.25">
      <c r="B147" s="48"/>
      <c r="C147" s="624" t="e">
        <f>"Tuvieron mayor probabilidad de estar expuestos al alimento, quienes consumieron "&amp;VLOOKUP((MAXA(M133:O144)),M133:Q144,5,FALSE)</f>
        <v>#N/A</v>
      </c>
      <c r="D147" s="625"/>
      <c r="E147" s="625"/>
      <c r="F147" s="625"/>
      <c r="G147" s="625"/>
      <c r="H147" s="625"/>
      <c r="I147" s="625"/>
      <c r="J147" s="625"/>
      <c r="K147" s="625"/>
      <c r="L147" s="625"/>
      <c r="M147" s="625"/>
      <c r="N147" s="625"/>
      <c r="O147" s="625"/>
      <c r="P147" s="625"/>
      <c r="Q147" s="626"/>
      <c r="R147" s="47"/>
    </row>
    <row r="148" spans="1:43" ht="18.75" customHeight="1" x14ac:dyDescent="0.2">
      <c r="B148" s="48"/>
      <c r="C148" s="475" t="s">
        <v>175</v>
      </c>
      <c r="D148" s="475"/>
      <c r="E148" s="475"/>
      <c r="F148" s="475"/>
      <c r="G148" s="475"/>
      <c r="H148" s="475"/>
      <c r="I148" s="475"/>
      <c r="J148" s="475"/>
      <c r="K148" s="475"/>
      <c r="L148" s="475"/>
      <c r="M148" s="475"/>
      <c r="N148" s="475"/>
      <c r="O148" s="475"/>
      <c r="P148" s="475"/>
      <c r="Q148" s="475"/>
      <c r="R148" s="47"/>
    </row>
    <row r="149" spans="1:43" ht="42.75" customHeight="1" x14ac:dyDescent="0.2">
      <c r="B149" s="48"/>
      <c r="C149" s="291"/>
      <c r="D149" s="4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108"/>
      <c r="S149" s="89"/>
    </row>
    <row r="150" spans="1:43" s="79" customFormat="1" ht="18" customHeight="1" x14ac:dyDescent="0.2">
      <c r="B150" s="66"/>
      <c r="C150" s="481" t="s">
        <v>21</v>
      </c>
      <c r="D150" s="481"/>
      <c r="E150" s="481"/>
      <c r="F150" s="481"/>
      <c r="G150" s="481"/>
      <c r="H150" s="481"/>
      <c r="I150" s="481"/>
      <c r="J150" s="73"/>
      <c r="K150" s="73"/>
      <c r="L150" s="73"/>
      <c r="M150" s="73"/>
      <c r="N150" s="73"/>
      <c r="O150" s="73"/>
      <c r="P150" s="135"/>
      <c r="Q150" s="78"/>
      <c r="R150" s="80"/>
    </row>
    <row r="151" spans="1:43" s="79" customFormat="1" ht="10.5" customHeight="1" thickBot="1" x14ac:dyDescent="0.25">
      <c r="B151" s="165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80"/>
    </row>
    <row r="152" spans="1:43" s="168" customFormat="1" ht="20.25" customHeight="1" x14ac:dyDescent="0.2">
      <c r="A152" s="79"/>
      <c r="B152" s="165"/>
      <c r="C152" s="467" t="s">
        <v>12</v>
      </c>
      <c r="D152" s="468"/>
      <c r="E152" s="213"/>
      <c r="F152" s="292"/>
      <c r="G152" s="467" t="s">
        <v>13</v>
      </c>
      <c r="H152" s="468"/>
      <c r="I152" s="319"/>
      <c r="J152" s="292"/>
      <c r="K152" s="596" t="str">
        <f>IF(I152="X","El establecimiento educativo es beneficiario del programa PAE?"," ")</f>
        <v xml:space="preserve"> </v>
      </c>
      <c r="L152" s="597"/>
      <c r="M152" s="597"/>
      <c r="N152" s="330" t="str">
        <f>IF(I152="X","Si"," ")</f>
        <v xml:space="preserve"> </v>
      </c>
      <c r="O152" s="319"/>
      <c r="P152" s="292"/>
      <c r="Q152" s="292"/>
      <c r="R152" s="80"/>
      <c r="S152" s="79"/>
      <c r="T152" s="690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</row>
    <row r="153" spans="1:43" s="168" customFormat="1" ht="19.5" customHeight="1" thickBot="1" x14ac:dyDescent="0.25">
      <c r="A153" s="79"/>
      <c r="B153" s="165"/>
      <c r="C153" s="469" t="s">
        <v>17</v>
      </c>
      <c r="D153" s="470"/>
      <c r="E153" s="293"/>
      <c r="F153" s="292"/>
      <c r="G153" s="469" t="s">
        <v>16</v>
      </c>
      <c r="H153" s="470"/>
      <c r="I153" s="320"/>
      <c r="J153" s="292"/>
      <c r="K153" s="464"/>
      <c r="L153" s="465"/>
      <c r="M153" s="465"/>
      <c r="N153" s="316" t="str">
        <f>IF(I152="X","No"," ")</f>
        <v xml:space="preserve"> </v>
      </c>
      <c r="O153" s="318"/>
      <c r="P153" s="292"/>
      <c r="Q153" s="292"/>
      <c r="R153" s="80"/>
      <c r="S153" s="79"/>
      <c r="T153" s="690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</row>
    <row r="154" spans="1:43" s="168" customFormat="1" ht="20.25" customHeight="1" x14ac:dyDescent="0.2">
      <c r="A154" s="79"/>
      <c r="B154" s="165"/>
      <c r="C154" s="469" t="s">
        <v>14</v>
      </c>
      <c r="D154" s="470"/>
      <c r="E154" s="293"/>
      <c r="F154" s="292"/>
      <c r="G154" s="469" t="s">
        <v>154</v>
      </c>
      <c r="H154" s="470"/>
      <c r="I154" s="320"/>
      <c r="J154" s="292"/>
      <c r="K154" s="292"/>
      <c r="L154" s="292"/>
      <c r="M154" s="292"/>
      <c r="N154" s="292"/>
      <c r="O154" s="292"/>
      <c r="P154" s="292"/>
      <c r="Q154" s="292"/>
      <c r="R154" s="80"/>
      <c r="S154" s="79"/>
      <c r="T154" s="690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</row>
    <row r="155" spans="1:43" s="168" customFormat="1" ht="20.25" customHeight="1" thickBot="1" x14ac:dyDescent="0.25">
      <c r="A155" s="79"/>
      <c r="B155" s="165"/>
      <c r="C155" s="469" t="s">
        <v>155</v>
      </c>
      <c r="D155" s="470"/>
      <c r="E155" s="293"/>
      <c r="F155" s="292"/>
      <c r="G155" s="469" t="s">
        <v>18</v>
      </c>
      <c r="H155" s="470"/>
      <c r="I155" s="320"/>
      <c r="J155" s="292"/>
      <c r="K155" s="292"/>
      <c r="L155" s="292"/>
      <c r="M155" s="292"/>
      <c r="N155" s="292"/>
      <c r="O155" s="292"/>
      <c r="P155" s="292"/>
      <c r="Q155" s="292"/>
      <c r="R155" s="80"/>
      <c r="S155" s="79"/>
      <c r="T155" s="690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</row>
    <row r="156" spans="1:43" s="168" customFormat="1" ht="20.25" customHeight="1" thickBot="1" x14ac:dyDescent="0.25">
      <c r="A156" s="79"/>
      <c r="B156" s="165"/>
      <c r="C156" s="462" t="s">
        <v>15</v>
      </c>
      <c r="D156" s="463"/>
      <c r="E156" s="216"/>
      <c r="F156" s="292"/>
      <c r="G156" s="464" t="s">
        <v>19</v>
      </c>
      <c r="H156" s="465"/>
      <c r="I156" s="318"/>
      <c r="J156" s="294"/>
      <c r="K156" s="295" t="str">
        <f>IF(I156="X","Cuál?"," ")</f>
        <v xml:space="preserve"> </v>
      </c>
      <c r="L156" s="609"/>
      <c r="M156" s="610"/>
      <c r="N156" s="611"/>
      <c r="O156" s="292"/>
      <c r="P156" s="292"/>
      <c r="Q156" s="292"/>
      <c r="R156" s="80"/>
      <c r="S156" s="79"/>
      <c r="T156" s="690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</row>
    <row r="157" spans="1:43" s="79" customFormat="1" ht="42.75" customHeight="1" x14ac:dyDescent="0.2">
      <c r="B157" s="165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80"/>
    </row>
    <row r="158" spans="1:43" s="79" customFormat="1" ht="15.75" customHeight="1" x14ac:dyDescent="0.2">
      <c r="B158" s="66"/>
      <c r="C158" s="481" t="s">
        <v>186</v>
      </c>
      <c r="D158" s="481"/>
      <c r="E158" s="481"/>
      <c r="F158" s="481"/>
      <c r="G158" s="481"/>
      <c r="H158" s="481"/>
      <c r="I158" s="481"/>
      <c r="J158" s="481"/>
      <c r="K158" s="481"/>
      <c r="L158" s="481"/>
      <c r="M158" s="73"/>
      <c r="N158" s="73"/>
      <c r="O158" s="73"/>
      <c r="P158" s="73"/>
      <c r="Q158" s="73"/>
      <c r="R158" s="80"/>
    </row>
    <row r="159" spans="1:43" s="79" customFormat="1" ht="7.5" customHeight="1" x14ac:dyDescent="0.2">
      <c r="B159" s="66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73"/>
      <c r="P159" s="78"/>
      <c r="Q159" s="78"/>
      <c r="R159" s="80"/>
    </row>
    <row r="160" spans="1:43" s="79" customFormat="1" ht="182.5" customHeight="1" x14ac:dyDescent="0.2">
      <c r="B160" s="165"/>
      <c r="C160" s="482"/>
      <c r="D160" s="688"/>
      <c r="E160" s="688"/>
      <c r="F160" s="688"/>
      <c r="G160" s="688"/>
      <c r="H160" s="688"/>
      <c r="I160" s="688"/>
      <c r="J160" s="688"/>
      <c r="K160" s="688"/>
      <c r="L160" s="688"/>
      <c r="M160" s="688"/>
      <c r="N160" s="688"/>
      <c r="O160" s="688"/>
      <c r="P160" s="688"/>
      <c r="Q160" s="483"/>
      <c r="R160" s="80"/>
    </row>
    <row r="161" spans="2:18" s="79" customFormat="1" ht="20.5" customHeight="1" x14ac:dyDescent="0.2">
      <c r="B161" s="165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80"/>
    </row>
    <row r="162" spans="2:18" s="79" customFormat="1" ht="15" customHeight="1" x14ac:dyDescent="0.2">
      <c r="B162" s="210"/>
      <c r="C162" s="481" t="s">
        <v>130</v>
      </c>
      <c r="D162" s="481"/>
      <c r="E162" s="481"/>
      <c r="F162" s="481"/>
      <c r="G162" s="481"/>
      <c r="H162" s="481"/>
      <c r="I162" s="481"/>
      <c r="J162" s="481"/>
      <c r="K162" s="481"/>
      <c r="L162" s="481"/>
      <c r="M162" s="481"/>
      <c r="N162" s="170"/>
      <c r="O162" s="78"/>
      <c r="P162" s="78"/>
      <c r="Q162" s="78"/>
      <c r="R162" s="80"/>
    </row>
    <row r="163" spans="2:18" s="79" customFormat="1" ht="7.5" customHeight="1" x14ac:dyDescent="0.2">
      <c r="B163" s="210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70"/>
      <c r="O163" s="78"/>
      <c r="P163" s="78"/>
      <c r="Q163" s="78"/>
      <c r="R163" s="80"/>
    </row>
    <row r="164" spans="2:18" s="79" customFormat="1" ht="18.75" customHeight="1" x14ac:dyDescent="0.2">
      <c r="B164" s="210"/>
      <c r="C164" s="481" t="s">
        <v>131</v>
      </c>
      <c r="D164" s="481"/>
      <c r="E164" s="481"/>
      <c r="F164" s="481"/>
      <c r="G164" s="481"/>
      <c r="H164" s="481"/>
      <c r="I164" s="481"/>
      <c r="J164" s="481"/>
      <c r="K164" s="481"/>
      <c r="L164" s="481"/>
      <c r="M164" s="135"/>
      <c r="N164" s="170"/>
      <c r="O164" s="78"/>
      <c r="P164" s="78"/>
      <c r="Q164" s="78"/>
      <c r="R164" s="80"/>
    </row>
    <row r="165" spans="2:18" s="79" customFormat="1" ht="6.75" customHeight="1" thickBot="1" x14ac:dyDescent="0.25">
      <c r="B165" s="169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78"/>
      <c r="P165" s="78"/>
      <c r="Q165" s="78"/>
      <c r="R165" s="80"/>
    </row>
    <row r="166" spans="2:18" s="79" customFormat="1" ht="16" x14ac:dyDescent="0.2">
      <c r="B166" s="165"/>
      <c r="C166" s="567" t="s">
        <v>71</v>
      </c>
      <c r="D166" s="460" t="s">
        <v>103</v>
      </c>
      <c r="E166" s="460"/>
      <c r="F166" s="460" t="s">
        <v>72</v>
      </c>
      <c r="G166" s="460" t="s">
        <v>102</v>
      </c>
      <c r="H166" s="460" t="s">
        <v>73</v>
      </c>
      <c r="I166" s="460"/>
      <c r="J166" s="460" t="s">
        <v>37</v>
      </c>
      <c r="K166" s="460"/>
      <c r="L166" s="460" t="s">
        <v>75</v>
      </c>
      <c r="M166" s="460"/>
      <c r="N166" s="460" t="s">
        <v>91</v>
      </c>
      <c r="O166" s="460"/>
      <c r="P166" s="460" t="s">
        <v>59</v>
      </c>
      <c r="Q166" s="572"/>
      <c r="R166" s="80"/>
    </row>
    <row r="167" spans="2:18" s="79" customFormat="1" ht="30" customHeight="1" thickBot="1" x14ac:dyDescent="0.25">
      <c r="B167" s="165"/>
      <c r="C167" s="508"/>
      <c r="D167" s="461"/>
      <c r="E167" s="461"/>
      <c r="F167" s="461"/>
      <c r="G167" s="461"/>
      <c r="H167" s="150" t="s">
        <v>74</v>
      </c>
      <c r="I167" s="150" t="s">
        <v>35</v>
      </c>
      <c r="J167" s="461"/>
      <c r="K167" s="461"/>
      <c r="L167" s="461"/>
      <c r="M167" s="461"/>
      <c r="N167" s="461"/>
      <c r="O167" s="461"/>
      <c r="P167" s="461"/>
      <c r="Q167" s="573"/>
      <c r="R167" s="80"/>
    </row>
    <row r="168" spans="2:18" s="79" customFormat="1" ht="19.5" customHeight="1" x14ac:dyDescent="0.2">
      <c r="B168" s="165"/>
      <c r="C168" s="245"/>
      <c r="D168" s="466"/>
      <c r="E168" s="466"/>
      <c r="F168" s="226"/>
      <c r="G168" s="349"/>
      <c r="H168" s="246"/>
      <c r="I168" s="226"/>
      <c r="J168" s="466"/>
      <c r="K168" s="466"/>
      <c r="L168" s="466"/>
      <c r="M168" s="466"/>
      <c r="N168" s="466"/>
      <c r="O168" s="466"/>
      <c r="P168" s="466"/>
      <c r="Q168" s="585"/>
      <c r="R168" s="80"/>
    </row>
    <row r="169" spans="2:18" s="79" customFormat="1" ht="19.5" customHeight="1" x14ac:dyDescent="0.2">
      <c r="B169" s="165"/>
      <c r="C169" s="247"/>
      <c r="D169" s="405"/>
      <c r="E169" s="405"/>
      <c r="F169" s="140"/>
      <c r="G169" s="350"/>
      <c r="H169" s="248"/>
      <c r="I169" s="140"/>
      <c r="J169" s="405"/>
      <c r="K169" s="405"/>
      <c r="L169" s="405"/>
      <c r="M169" s="405"/>
      <c r="N169" s="405"/>
      <c r="O169" s="405"/>
      <c r="P169" s="405"/>
      <c r="Q169" s="406"/>
      <c r="R169" s="80"/>
    </row>
    <row r="170" spans="2:18" s="79" customFormat="1" ht="19.5" customHeight="1" x14ac:dyDescent="0.2">
      <c r="B170" s="165"/>
      <c r="C170" s="247"/>
      <c r="D170" s="405"/>
      <c r="E170" s="405"/>
      <c r="F170" s="140"/>
      <c r="G170" s="350"/>
      <c r="H170" s="248"/>
      <c r="I170" s="140"/>
      <c r="J170" s="405"/>
      <c r="K170" s="405"/>
      <c r="L170" s="405"/>
      <c r="M170" s="405"/>
      <c r="N170" s="405"/>
      <c r="O170" s="405"/>
      <c r="P170" s="405"/>
      <c r="Q170" s="406"/>
      <c r="R170" s="80"/>
    </row>
    <row r="171" spans="2:18" s="79" customFormat="1" ht="19.5" customHeight="1" x14ac:dyDescent="0.2">
      <c r="B171" s="165"/>
      <c r="C171" s="247"/>
      <c r="D171" s="405"/>
      <c r="E171" s="405"/>
      <c r="F171" s="140"/>
      <c r="G171" s="350"/>
      <c r="H171" s="248"/>
      <c r="I171" s="140"/>
      <c r="J171" s="405"/>
      <c r="K171" s="405"/>
      <c r="L171" s="405"/>
      <c r="M171" s="405"/>
      <c r="N171" s="405"/>
      <c r="O171" s="405"/>
      <c r="P171" s="405"/>
      <c r="Q171" s="406"/>
      <c r="R171" s="80"/>
    </row>
    <row r="172" spans="2:18" s="79" customFormat="1" ht="19.5" customHeight="1" x14ac:dyDescent="0.2">
      <c r="B172" s="165"/>
      <c r="C172" s="247"/>
      <c r="D172" s="405"/>
      <c r="E172" s="405"/>
      <c r="F172" s="140"/>
      <c r="G172" s="350"/>
      <c r="H172" s="248"/>
      <c r="I172" s="140"/>
      <c r="J172" s="405"/>
      <c r="K172" s="405"/>
      <c r="L172" s="405"/>
      <c r="M172" s="405"/>
      <c r="N172" s="405"/>
      <c r="O172" s="405"/>
      <c r="P172" s="405"/>
      <c r="Q172" s="406"/>
      <c r="R172" s="80"/>
    </row>
    <row r="173" spans="2:18" s="79" customFormat="1" ht="19.5" customHeight="1" x14ac:dyDescent="0.2">
      <c r="B173" s="165"/>
      <c r="C173" s="247"/>
      <c r="D173" s="405"/>
      <c r="E173" s="405"/>
      <c r="F173" s="140"/>
      <c r="G173" s="350"/>
      <c r="H173" s="248"/>
      <c r="I173" s="140"/>
      <c r="J173" s="405"/>
      <c r="K173" s="405"/>
      <c r="L173" s="405"/>
      <c r="M173" s="405"/>
      <c r="N173" s="405"/>
      <c r="O173" s="405"/>
      <c r="P173" s="405"/>
      <c r="Q173" s="406"/>
      <c r="R173" s="80"/>
    </row>
    <row r="174" spans="2:18" s="79" customFormat="1" ht="19.5" customHeight="1" thickBot="1" x14ac:dyDescent="0.25">
      <c r="B174" s="165"/>
      <c r="C174" s="249"/>
      <c r="D174" s="382"/>
      <c r="E174" s="382"/>
      <c r="F174" s="152"/>
      <c r="G174" s="351"/>
      <c r="H174" s="250"/>
      <c r="I174" s="152"/>
      <c r="J174" s="382"/>
      <c r="K174" s="382"/>
      <c r="L174" s="382"/>
      <c r="M174" s="382"/>
      <c r="N174" s="382"/>
      <c r="O174" s="382"/>
      <c r="P174" s="382"/>
      <c r="Q174" s="383"/>
      <c r="R174" s="80"/>
    </row>
    <row r="175" spans="2:18" s="79" customFormat="1" ht="7.5" customHeight="1" x14ac:dyDescent="0.2">
      <c r="B175" s="165"/>
      <c r="C175" s="251"/>
      <c r="D175" s="251"/>
      <c r="E175" s="251"/>
      <c r="F175" s="251"/>
      <c r="G175" s="252"/>
      <c r="H175" s="252"/>
      <c r="I175" s="251"/>
      <c r="J175" s="251"/>
      <c r="K175" s="251"/>
      <c r="L175" s="251"/>
      <c r="M175" s="251"/>
      <c r="N175" s="251"/>
      <c r="O175" s="251"/>
      <c r="P175" s="251"/>
      <c r="Q175" s="251"/>
      <c r="R175" s="80"/>
    </row>
    <row r="176" spans="2:18" s="79" customFormat="1" ht="16" x14ac:dyDescent="0.2">
      <c r="B176" s="165"/>
      <c r="C176" s="486" t="s">
        <v>164</v>
      </c>
      <c r="D176" s="486"/>
      <c r="E176" s="486"/>
      <c r="F176" s="486"/>
      <c r="G176" s="486"/>
      <c r="H176" s="486"/>
      <c r="I176" s="486"/>
      <c r="J176" s="486"/>
      <c r="K176" s="486"/>
      <c r="L176" s="486"/>
      <c r="M176" s="135"/>
      <c r="N176" s="170"/>
      <c r="O176" s="78"/>
      <c r="P176" s="78"/>
      <c r="Q176" s="78"/>
      <c r="R176" s="80"/>
    </row>
    <row r="177" spans="2:18" s="79" customFormat="1" ht="9" customHeight="1" thickBot="1" x14ac:dyDescent="0.25">
      <c r="B177" s="165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78"/>
      <c r="P177" s="78"/>
      <c r="Q177" s="78"/>
      <c r="R177" s="80"/>
    </row>
    <row r="178" spans="2:18" s="79" customFormat="1" ht="19.5" customHeight="1" x14ac:dyDescent="0.2">
      <c r="B178" s="165"/>
      <c r="C178" s="567" t="s">
        <v>71</v>
      </c>
      <c r="D178" s="460" t="s">
        <v>103</v>
      </c>
      <c r="E178" s="460"/>
      <c r="F178" s="460" t="s">
        <v>72</v>
      </c>
      <c r="G178" s="460" t="s">
        <v>102</v>
      </c>
      <c r="H178" s="460" t="s">
        <v>73</v>
      </c>
      <c r="I178" s="460"/>
      <c r="J178" s="460" t="s">
        <v>37</v>
      </c>
      <c r="K178" s="460"/>
      <c r="L178" s="460" t="s">
        <v>75</v>
      </c>
      <c r="M178" s="460"/>
      <c r="N178" s="460" t="s">
        <v>91</v>
      </c>
      <c r="O178" s="460"/>
      <c r="P178" s="460" t="s">
        <v>59</v>
      </c>
      <c r="Q178" s="572"/>
      <c r="R178" s="80"/>
    </row>
    <row r="179" spans="2:18" s="79" customFormat="1" ht="24.75" customHeight="1" thickBot="1" x14ac:dyDescent="0.25">
      <c r="B179" s="165"/>
      <c r="C179" s="508"/>
      <c r="D179" s="461"/>
      <c r="E179" s="461"/>
      <c r="F179" s="461"/>
      <c r="G179" s="461"/>
      <c r="H179" s="150" t="s">
        <v>74</v>
      </c>
      <c r="I179" s="150" t="s">
        <v>35</v>
      </c>
      <c r="J179" s="461"/>
      <c r="K179" s="461"/>
      <c r="L179" s="461"/>
      <c r="M179" s="461"/>
      <c r="N179" s="461"/>
      <c r="O179" s="461"/>
      <c r="P179" s="461"/>
      <c r="Q179" s="573"/>
      <c r="R179" s="80"/>
    </row>
    <row r="180" spans="2:18" s="79" customFormat="1" ht="19.5" customHeight="1" x14ac:dyDescent="0.2">
      <c r="B180" s="165"/>
      <c r="C180" s="245"/>
      <c r="D180" s="466"/>
      <c r="E180" s="466"/>
      <c r="F180" s="226"/>
      <c r="G180" s="349"/>
      <c r="H180" s="246"/>
      <c r="I180" s="226"/>
      <c r="J180" s="466"/>
      <c r="K180" s="466"/>
      <c r="L180" s="466"/>
      <c r="M180" s="466"/>
      <c r="N180" s="466"/>
      <c r="O180" s="466"/>
      <c r="P180" s="466"/>
      <c r="Q180" s="585"/>
      <c r="R180" s="80"/>
    </row>
    <row r="181" spans="2:18" s="79" customFormat="1" ht="19.5" customHeight="1" x14ac:dyDescent="0.2">
      <c r="B181" s="165"/>
      <c r="C181" s="247"/>
      <c r="D181" s="405"/>
      <c r="E181" s="405"/>
      <c r="F181" s="140"/>
      <c r="G181" s="350"/>
      <c r="H181" s="248"/>
      <c r="I181" s="140"/>
      <c r="J181" s="405"/>
      <c r="K181" s="405"/>
      <c r="L181" s="405"/>
      <c r="M181" s="405"/>
      <c r="N181" s="405"/>
      <c r="O181" s="405"/>
      <c r="P181" s="405"/>
      <c r="Q181" s="406"/>
      <c r="R181" s="80"/>
    </row>
    <row r="182" spans="2:18" s="79" customFormat="1" ht="19.5" customHeight="1" x14ac:dyDescent="0.2">
      <c r="B182" s="165"/>
      <c r="C182" s="247"/>
      <c r="D182" s="405"/>
      <c r="E182" s="405"/>
      <c r="F182" s="140"/>
      <c r="G182" s="350"/>
      <c r="H182" s="248"/>
      <c r="I182" s="140"/>
      <c r="J182" s="405"/>
      <c r="K182" s="405"/>
      <c r="L182" s="405"/>
      <c r="M182" s="405"/>
      <c r="N182" s="405"/>
      <c r="O182" s="405"/>
      <c r="P182" s="405"/>
      <c r="Q182" s="406"/>
      <c r="R182" s="80"/>
    </row>
    <row r="183" spans="2:18" s="79" customFormat="1" ht="19.5" customHeight="1" x14ac:dyDescent="0.2">
      <c r="B183" s="165"/>
      <c r="C183" s="247"/>
      <c r="D183" s="405"/>
      <c r="E183" s="405"/>
      <c r="F183" s="140"/>
      <c r="G183" s="350"/>
      <c r="H183" s="248"/>
      <c r="I183" s="140"/>
      <c r="J183" s="405"/>
      <c r="K183" s="405"/>
      <c r="L183" s="405"/>
      <c r="M183" s="405"/>
      <c r="N183" s="405"/>
      <c r="O183" s="405"/>
      <c r="P183" s="405"/>
      <c r="Q183" s="406"/>
      <c r="R183" s="80"/>
    </row>
    <row r="184" spans="2:18" s="79" customFormat="1" ht="19.5" customHeight="1" x14ac:dyDescent="0.2">
      <c r="B184" s="165"/>
      <c r="C184" s="247"/>
      <c r="D184" s="405"/>
      <c r="E184" s="405"/>
      <c r="F184" s="140"/>
      <c r="G184" s="350"/>
      <c r="H184" s="248"/>
      <c r="I184" s="140"/>
      <c r="J184" s="405"/>
      <c r="K184" s="405"/>
      <c r="L184" s="405"/>
      <c r="M184" s="405"/>
      <c r="N184" s="405"/>
      <c r="O184" s="405"/>
      <c r="P184" s="405"/>
      <c r="Q184" s="406"/>
      <c r="R184" s="80"/>
    </row>
    <row r="185" spans="2:18" s="79" customFormat="1" ht="19.5" customHeight="1" x14ac:dyDescent="0.2">
      <c r="B185" s="165"/>
      <c r="C185" s="247"/>
      <c r="D185" s="405"/>
      <c r="E185" s="405"/>
      <c r="F185" s="140"/>
      <c r="G185" s="350"/>
      <c r="H185" s="248"/>
      <c r="I185" s="140"/>
      <c r="J185" s="405"/>
      <c r="K185" s="405"/>
      <c r="L185" s="405"/>
      <c r="M185" s="405"/>
      <c r="N185" s="405"/>
      <c r="O185" s="405"/>
      <c r="P185" s="405"/>
      <c r="Q185" s="406"/>
      <c r="R185" s="80"/>
    </row>
    <row r="186" spans="2:18" s="79" customFormat="1" ht="19.5" customHeight="1" thickBot="1" x14ac:dyDescent="0.25">
      <c r="B186" s="165"/>
      <c r="C186" s="249"/>
      <c r="D186" s="382"/>
      <c r="E186" s="382"/>
      <c r="F186" s="152"/>
      <c r="G186" s="351"/>
      <c r="H186" s="250"/>
      <c r="I186" s="152"/>
      <c r="J186" s="382"/>
      <c r="K186" s="382"/>
      <c r="L186" s="382"/>
      <c r="M186" s="382"/>
      <c r="N186" s="382"/>
      <c r="O186" s="382"/>
      <c r="P186" s="382"/>
      <c r="Q186" s="383"/>
      <c r="R186" s="80"/>
    </row>
    <row r="187" spans="2:18" s="79" customFormat="1" ht="7.5" customHeight="1" x14ac:dyDescent="0.2">
      <c r="B187" s="165"/>
      <c r="C187" s="78"/>
      <c r="D187" s="78"/>
      <c r="E187" s="78"/>
      <c r="F187" s="78"/>
      <c r="G187" s="253"/>
      <c r="H187" s="253"/>
      <c r="I187" s="78"/>
      <c r="J187" s="78"/>
      <c r="K187" s="78"/>
      <c r="L187" s="78"/>
      <c r="M187" s="78"/>
      <c r="N187" s="78"/>
      <c r="O187" s="78"/>
      <c r="P187" s="78"/>
      <c r="Q187" s="78"/>
      <c r="R187" s="80"/>
    </row>
    <row r="188" spans="2:18" s="79" customFormat="1" ht="15" customHeight="1" x14ac:dyDescent="0.2">
      <c r="B188" s="210"/>
      <c r="C188" s="481" t="s">
        <v>132</v>
      </c>
      <c r="D188" s="481"/>
      <c r="E188" s="481"/>
      <c r="F188" s="481"/>
      <c r="G188" s="481"/>
      <c r="H188" s="481"/>
      <c r="I188" s="170"/>
      <c r="J188" s="170"/>
      <c r="K188" s="170"/>
      <c r="L188" s="170"/>
      <c r="M188" s="170"/>
      <c r="N188" s="170"/>
      <c r="O188" s="170"/>
      <c r="P188" s="78"/>
      <c r="Q188" s="78"/>
      <c r="R188" s="80"/>
    </row>
    <row r="189" spans="2:18" s="79" customFormat="1" ht="9" customHeight="1" thickBot="1" x14ac:dyDescent="0.25">
      <c r="B189" s="165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80"/>
    </row>
    <row r="190" spans="2:18" s="79" customFormat="1" ht="15.75" customHeight="1" x14ac:dyDescent="0.2">
      <c r="B190" s="165"/>
      <c r="C190" s="567" t="s">
        <v>71</v>
      </c>
      <c r="D190" s="586" t="s">
        <v>92</v>
      </c>
      <c r="E190" s="586"/>
      <c r="F190" s="460" t="s">
        <v>37</v>
      </c>
      <c r="G190" s="460"/>
      <c r="H190" s="460"/>
      <c r="I190" s="460"/>
      <c r="J190" s="529" t="s">
        <v>75</v>
      </c>
      <c r="K190" s="586"/>
      <c r="L190" s="586"/>
      <c r="M190" s="530"/>
      <c r="N190" s="460" t="s">
        <v>91</v>
      </c>
      <c r="O190" s="460"/>
      <c r="P190" s="460" t="s">
        <v>59</v>
      </c>
      <c r="Q190" s="572"/>
      <c r="R190" s="80"/>
    </row>
    <row r="191" spans="2:18" s="79" customFormat="1" ht="18" thickBot="1" x14ac:dyDescent="0.25">
      <c r="B191" s="165"/>
      <c r="C191" s="508"/>
      <c r="D191" s="587"/>
      <c r="E191" s="587"/>
      <c r="F191" s="150" t="s">
        <v>36</v>
      </c>
      <c r="G191" s="150" t="s">
        <v>76</v>
      </c>
      <c r="H191" s="150" t="s">
        <v>77</v>
      </c>
      <c r="I191" s="150" t="s">
        <v>78</v>
      </c>
      <c r="J191" s="527"/>
      <c r="K191" s="587"/>
      <c r="L191" s="587"/>
      <c r="M191" s="528"/>
      <c r="N191" s="461"/>
      <c r="O191" s="461"/>
      <c r="P191" s="461"/>
      <c r="Q191" s="573"/>
      <c r="R191" s="80"/>
    </row>
    <row r="192" spans="2:18" s="79" customFormat="1" ht="18" customHeight="1" x14ac:dyDescent="0.2">
      <c r="B192" s="165"/>
      <c r="C192" s="254"/>
      <c r="D192" s="403"/>
      <c r="E192" s="403"/>
      <c r="F192" s="126"/>
      <c r="G192" s="211"/>
      <c r="H192" s="211"/>
      <c r="I192" s="211"/>
      <c r="J192" s="454"/>
      <c r="K192" s="455"/>
      <c r="L192" s="455"/>
      <c r="M192" s="456"/>
      <c r="N192" s="588"/>
      <c r="O192" s="588"/>
      <c r="P192" s="665"/>
      <c r="Q192" s="666"/>
      <c r="R192" s="80"/>
    </row>
    <row r="193" spans="2:18" s="79" customFormat="1" ht="18" customHeight="1" x14ac:dyDescent="0.2">
      <c r="B193" s="165"/>
      <c r="C193" s="247"/>
      <c r="D193" s="405"/>
      <c r="E193" s="405"/>
      <c r="F193" s="140"/>
      <c r="G193" s="214"/>
      <c r="H193" s="214"/>
      <c r="I193" s="214"/>
      <c r="J193" s="457"/>
      <c r="K193" s="458"/>
      <c r="L193" s="458"/>
      <c r="M193" s="459"/>
      <c r="N193" s="584"/>
      <c r="O193" s="584"/>
      <c r="P193" s="598"/>
      <c r="Q193" s="599"/>
      <c r="R193" s="80"/>
    </row>
    <row r="194" spans="2:18" s="79" customFormat="1" ht="18" customHeight="1" x14ac:dyDescent="0.2">
      <c r="B194" s="165"/>
      <c r="C194" s="247"/>
      <c r="D194" s="405"/>
      <c r="E194" s="405"/>
      <c r="F194" s="140"/>
      <c r="G194" s="214"/>
      <c r="H194" s="214"/>
      <c r="I194" s="214"/>
      <c r="J194" s="457"/>
      <c r="K194" s="458"/>
      <c r="L194" s="458"/>
      <c r="M194" s="459"/>
      <c r="N194" s="584"/>
      <c r="O194" s="584"/>
      <c r="P194" s="598"/>
      <c r="Q194" s="599"/>
      <c r="R194" s="80"/>
    </row>
    <row r="195" spans="2:18" s="79" customFormat="1" ht="18" customHeight="1" x14ac:dyDescent="0.2">
      <c r="B195" s="165"/>
      <c r="C195" s="247"/>
      <c r="D195" s="405"/>
      <c r="E195" s="405"/>
      <c r="F195" s="140"/>
      <c r="G195" s="214"/>
      <c r="H195" s="214"/>
      <c r="I195" s="214"/>
      <c r="J195" s="457"/>
      <c r="K195" s="458"/>
      <c r="L195" s="458"/>
      <c r="M195" s="459"/>
      <c r="N195" s="584"/>
      <c r="O195" s="584"/>
      <c r="P195" s="598"/>
      <c r="Q195" s="599"/>
      <c r="R195" s="80"/>
    </row>
    <row r="196" spans="2:18" s="79" customFormat="1" ht="18" customHeight="1" x14ac:dyDescent="0.2">
      <c r="B196" s="165"/>
      <c r="C196" s="247"/>
      <c r="D196" s="405"/>
      <c r="E196" s="405"/>
      <c r="F196" s="140"/>
      <c r="G196" s="214"/>
      <c r="H196" s="214"/>
      <c r="I196" s="214"/>
      <c r="J196" s="457"/>
      <c r="K196" s="458"/>
      <c r="L196" s="458"/>
      <c r="M196" s="459"/>
      <c r="N196" s="584"/>
      <c r="O196" s="584"/>
      <c r="P196" s="598"/>
      <c r="Q196" s="599"/>
      <c r="R196" s="80"/>
    </row>
    <row r="197" spans="2:18" s="79" customFormat="1" ht="18" customHeight="1" x14ac:dyDescent="0.2">
      <c r="B197" s="165"/>
      <c r="C197" s="247"/>
      <c r="D197" s="405"/>
      <c r="E197" s="405"/>
      <c r="F197" s="140"/>
      <c r="G197" s="214"/>
      <c r="H197" s="214"/>
      <c r="I197" s="214"/>
      <c r="J197" s="457"/>
      <c r="K197" s="458"/>
      <c r="L197" s="458"/>
      <c r="M197" s="459"/>
      <c r="N197" s="584"/>
      <c r="O197" s="584"/>
      <c r="P197" s="598"/>
      <c r="Q197" s="599"/>
      <c r="R197" s="80"/>
    </row>
    <row r="198" spans="2:18" s="79" customFormat="1" ht="18" customHeight="1" thickBot="1" x14ac:dyDescent="0.25">
      <c r="B198" s="165"/>
      <c r="C198" s="249"/>
      <c r="D198" s="382"/>
      <c r="E198" s="382"/>
      <c r="F198" s="152"/>
      <c r="G198" s="217"/>
      <c r="H198" s="217"/>
      <c r="I198" s="217"/>
      <c r="J198" s="675"/>
      <c r="K198" s="676"/>
      <c r="L198" s="676"/>
      <c r="M198" s="677"/>
      <c r="N198" s="664"/>
      <c r="O198" s="664"/>
      <c r="P198" s="662"/>
      <c r="Q198" s="663"/>
      <c r="R198" s="80"/>
    </row>
    <row r="199" spans="2:18" s="79" customFormat="1" ht="30" customHeight="1" x14ac:dyDescent="0.2">
      <c r="B199" s="165"/>
      <c r="C199" s="296"/>
      <c r="D199" s="292"/>
      <c r="E199" s="292"/>
      <c r="F199" s="296"/>
      <c r="G199" s="297"/>
      <c r="H199" s="297"/>
      <c r="I199" s="297"/>
      <c r="J199" s="287"/>
      <c r="K199" s="287"/>
      <c r="L199" s="287"/>
      <c r="M199" s="287"/>
      <c r="N199" s="287"/>
      <c r="O199" s="287"/>
      <c r="P199" s="292"/>
      <c r="Q199" s="292"/>
      <c r="R199" s="80"/>
    </row>
    <row r="200" spans="2:18" s="79" customFormat="1" ht="21.75" customHeight="1" thickBot="1" x14ac:dyDescent="0.25">
      <c r="B200" s="165"/>
      <c r="C200" s="481" t="s">
        <v>187</v>
      </c>
      <c r="D200" s="481"/>
      <c r="E200" s="481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80"/>
    </row>
    <row r="201" spans="2:18" s="79" customFormat="1" ht="15" customHeight="1" x14ac:dyDescent="0.2">
      <c r="B201" s="165"/>
      <c r="C201" s="613"/>
      <c r="D201" s="403"/>
      <c r="E201" s="403"/>
      <c r="F201" s="403"/>
      <c r="G201" s="403"/>
      <c r="H201" s="403"/>
      <c r="I201" s="403"/>
      <c r="J201" s="403"/>
      <c r="K201" s="403"/>
      <c r="L201" s="403"/>
      <c r="M201" s="403"/>
      <c r="N201" s="403"/>
      <c r="O201" s="403"/>
      <c r="P201" s="403"/>
      <c r="Q201" s="404"/>
      <c r="R201" s="80"/>
    </row>
    <row r="202" spans="2:18" s="79" customFormat="1" ht="15" customHeight="1" x14ac:dyDescent="0.2">
      <c r="B202" s="165"/>
      <c r="C202" s="614"/>
      <c r="D202" s="405"/>
      <c r="E202" s="405"/>
      <c r="F202" s="405"/>
      <c r="G202" s="405"/>
      <c r="H202" s="405"/>
      <c r="I202" s="405"/>
      <c r="J202" s="405"/>
      <c r="K202" s="405"/>
      <c r="L202" s="405"/>
      <c r="M202" s="405"/>
      <c r="N202" s="405"/>
      <c r="O202" s="405"/>
      <c r="P202" s="405"/>
      <c r="Q202" s="406"/>
      <c r="R202" s="80"/>
    </row>
    <row r="203" spans="2:18" s="79" customFormat="1" ht="15" customHeight="1" x14ac:dyDescent="0.2">
      <c r="B203" s="165"/>
      <c r="C203" s="614"/>
      <c r="D203" s="405"/>
      <c r="E203" s="405"/>
      <c r="F203" s="405"/>
      <c r="G203" s="405"/>
      <c r="H203" s="405"/>
      <c r="I203" s="405"/>
      <c r="J203" s="405"/>
      <c r="K203" s="405"/>
      <c r="L203" s="405"/>
      <c r="M203" s="405"/>
      <c r="N203" s="405"/>
      <c r="O203" s="405"/>
      <c r="P203" s="405"/>
      <c r="Q203" s="406"/>
      <c r="R203" s="80"/>
    </row>
    <row r="204" spans="2:18" s="79" customFormat="1" ht="15" customHeight="1" x14ac:dyDescent="0.2">
      <c r="B204" s="165"/>
      <c r="C204" s="614"/>
      <c r="D204" s="405"/>
      <c r="E204" s="405"/>
      <c r="F204" s="405"/>
      <c r="G204" s="405"/>
      <c r="H204" s="405"/>
      <c r="I204" s="405"/>
      <c r="J204" s="405"/>
      <c r="K204" s="405"/>
      <c r="L204" s="405"/>
      <c r="M204" s="405"/>
      <c r="N204" s="405"/>
      <c r="O204" s="405"/>
      <c r="P204" s="405"/>
      <c r="Q204" s="406"/>
      <c r="R204" s="80"/>
    </row>
    <row r="205" spans="2:18" s="79" customFormat="1" ht="15" customHeight="1" x14ac:dyDescent="0.2">
      <c r="B205" s="165"/>
      <c r="C205" s="614"/>
      <c r="D205" s="405"/>
      <c r="E205" s="405"/>
      <c r="F205" s="405"/>
      <c r="G205" s="405"/>
      <c r="H205" s="405"/>
      <c r="I205" s="405"/>
      <c r="J205" s="405"/>
      <c r="K205" s="405"/>
      <c r="L205" s="405"/>
      <c r="M205" s="405"/>
      <c r="N205" s="405"/>
      <c r="O205" s="405"/>
      <c r="P205" s="405"/>
      <c r="Q205" s="406"/>
      <c r="R205" s="80"/>
    </row>
    <row r="206" spans="2:18" s="79" customFormat="1" ht="15" customHeight="1" x14ac:dyDescent="0.2">
      <c r="B206" s="165"/>
      <c r="C206" s="614"/>
      <c r="D206" s="405"/>
      <c r="E206" s="405"/>
      <c r="F206" s="405"/>
      <c r="G206" s="405"/>
      <c r="H206" s="405"/>
      <c r="I206" s="405"/>
      <c r="J206" s="405"/>
      <c r="K206" s="405"/>
      <c r="L206" s="405"/>
      <c r="M206" s="405"/>
      <c r="N206" s="405"/>
      <c r="O206" s="405"/>
      <c r="P206" s="405"/>
      <c r="Q206" s="406"/>
      <c r="R206" s="80"/>
    </row>
    <row r="207" spans="2:18" s="79" customFormat="1" ht="15" customHeight="1" x14ac:dyDescent="0.2">
      <c r="B207" s="165"/>
      <c r="C207" s="614"/>
      <c r="D207" s="405"/>
      <c r="E207" s="405"/>
      <c r="F207" s="405"/>
      <c r="G207" s="405"/>
      <c r="H207" s="405"/>
      <c r="I207" s="405"/>
      <c r="J207" s="405"/>
      <c r="K207" s="405"/>
      <c r="L207" s="405"/>
      <c r="M207" s="405"/>
      <c r="N207" s="405"/>
      <c r="O207" s="405"/>
      <c r="P207" s="405"/>
      <c r="Q207" s="406"/>
      <c r="R207" s="80"/>
    </row>
    <row r="208" spans="2:18" s="79" customFormat="1" ht="15" customHeight="1" x14ac:dyDescent="0.2">
      <c r="B208" s="165"/>
      <c r="C208" s="614"/>
      <c r="D208" s="405"/>
      <c r="E208" s="405"/>
      <c r="F208" s="405"/>
      <c r="G208" s="405"/>
      <c r="H208" s="405"/>
      <c r="I208" s="405"/>
      <c r="J208" s="405"/>
      <c r="K208" s="405"/>
      <c r="L208" s="405"/>
      <c r="M208" s="405"/>
      <c r="N208" s="405"/>
      <c r="O208" s="405"/>
      <c r="P208" s="405"/>
      <c r="Q208" s="406"/>
      <c r="R208" s="80"/>
    </row>
    <row r="209" spans="2:21" s="79" customFormat="1" ht="15" customHeight="1" x14ac:dyDescent="0.2">
      <c r="B209" s="165"/>
      <c r="C209" s="614"/>
      <c r="D209" s="405"/>
      <c r="E209" s="405"/>
      <c r="F209" s="405"/>
      <c r="G209" s="405"/>
      <c r="H209" s="405"/>
      <c r="I209" s="405"/>
      <c r="J209" s="405"/>
      <c r="K209" s="405"/>
      <c r="L209" s="405"/>
      <c r="M209" s="405"/>
      <c r="N209" s="405"/>
      <c r="O209" s="405"/>
      <c r="P209" s="405"/>
      <c r="Q209" s="406"/>
      <c r="R209" s="80"/>
    </row>
    <row r="210" spans="2:21" s="79" customFormat="1" ht="15" customHeight="1" x14ac:dyDescent="0.2">
      <c r="B210" s="165"/>
      <c r="C210" s="614"/>
      <c r="D210" s="405"/>
      <c r="E210" s="405"/>
      <c r="F210" s="405"/>
      <c r="G210" s="405"/>
      <c r="H210" s="405"/>
      <c r="I210" s="405"/>
      <c r="J210" s="405"/>
      <c r="K210" s="405"/>
      <c r="L210" s="405"/>
      <c r="M210" s="405"/>
      <c r="N210" s="405"/>
      <c r="O210" s="405"/>
      <c r="P210" s="405"/>
      <c r="Q210" s="406"/>
      <c r="R210" s="80"/>
    </row>
    <row r="211" spans="2:21" s="79" customFormat="1" ht="15" customHeight="1" thickBot="1" x14ac:dyDescent="0.25">
      <c r="B211" s="165"/>
      <c r="C211" s="612"/>
      <c r="D211" s="382"/>
      <c r="E211" s="382"/>
      <c r="F211" s="382"/>
      <c r="G211" s="382"/>
      <c r="H211" s="382"/>
      <c r="I211" s="382"/>
      <c r="J211" s="382"/>
      <c r="K211" s="382"/>
      <c r="L211" s="382"/>
      <c r="M211" s="382"/>
      <c r="N211" s="382"/>
      <c r="O211" s="382"/>
      <c r="P211" s="382"/>
      <c r="Q211" s="383"/>
      <c r="R211" s="80"/>
    </row>
    <row r="212" spans="2:21" s="79" customFormat="1" ht="23.25" customHeight="1" x14ac:dyDescent="0.2">
      <c r="B212" s="165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80"/>
    </row>
    <row r="213" spans="2:21" s="78" customFormat="1" ht="19.5" customHeight="1" thickBot="1" x14ac:dyDescent="0.25">
      <c r="B213" s="210"/>
      <c r="C213" s="689" t="s">
        <v>188</v>
      </c>
      <c r="D213" s="689"/>
      <c r="E213" s="689"/>
      <c r="F213" s="255"/>
      <c r="G213" s="255"/>
      <c r="H213" s="255"/>
      <c r="I213" s="73"/>
      <c r="J213" s="73"/>
      <c r="K213" s="73"/>
      <c r="L213" s="73"/>
      <c r="M213" s="73"/>
      <c r="N213" s="73"/>
      <c r="O213" s="73"/>
      <c r="P213" s="73"/>
      <c r="Q213" s="73"/>
      <c r="R213" s="80"/>
    </row>
    <row r="214" spans="2:21" s="79" customFormat="1" ht="15" customHeight="1" x14ac:dyDescent="0.2">
      <c r="B214" s="165"/>
      <c r="C214" s="615"/>
      <c r="D214" s="616"/>
      <c r="E214" s="616"/>
      <c r="F214" s="616"/>
      <c r="G214" s="616"/>
      <c r="H214" s="616"/>
      <c r="I214" s="616"/>
      <c r="J214" s="616"/>
      <c r="K214" s="616"/>
      <c r="L214" s="616"/>
      <c r="M214" s="616"/>
      <c r="N214" s="616"/>
      <c r="O214" s="616"/>
      <c r="P214" s="616"/>
      <c r="Q214" s="617"/>
      <c r="R214" s="80"/>
      <c r="T214" s="554"/>
      <c r="U214" s="554"/>
    </row>
    <row r="215" spans="2:21" s="79" customFormat="1" ht="16" x14ac:dyDescent="0.2">
      <c r="B215" s="165"/>
      <c r="C215" s="618"/>
      <c r="D215" s="619"/>
      <c r="E215" s="619"/>
      <c r="F215" s="619"/>
      <c r="G215" s="619"/>
      <c r="H215" s="619"/>
      <c r="I215" s="619"/>
      <c r="J215" s="619"/>
      <c r="K215" s="619"/>
      <c r="L215" s="619"/>
      <c r="M215" s="619"/>
      <c r="N215" s="619"/>
      <c r="O215" s="619"/>
      <c r="P215" s="619"/>
      <c r="Q215" s="620"/>
      <c r="R215" s="80"/>
      <c r="T215" s="554"/>
      <c r="U215" s="554"/>
    </row>
    <row r="216" spans="2:21" s="79" customFormat="1" ht="16" x14ac:dyDescent="0.2">
      <c r="B216" s="165"/>
      <c r="C216" s="618"/>
      <c r="D216" s="619"/>
      <c r="E216" s="619"/>
      <c r="F216" s="619"/>
      <c r="G216" s="619"/>
      <c r="H216" s="619"/>
      <c r="I216" s="619"/>
      <c r="J216" s="619"/>
      <c r="K216" s="619"/>
      <c r="L216" s="619"/>
      <c r="M216" s="619"/>
      <c r="N216" s="619"/>
      <c r="O216" s="619"/>
      <c r="P216" s="619"/>
      <c r="Q216" s="620"/>
      <c r="R216" s="80"/>
      <c r="T216" s="149"/>
      <c r="U216" s="149"/>
    </row>
    <row r="217" spans="2:21" s="79" customFormat="1" ht="16" x14ac:dyDescent="0.2">
      <c r="B217" s="165"/>
      <c r="C217" s="618"/>
      <c r="D217" s="619"/>
      <c r="E217" s="619"/>
      <c r="F217" s="619"/>
      <c r="G217" s="619"/>
      <c r="H217" s="619"/>
      <c r="I217" s="619"/>
      <c r="J217" s="619"/>
      <c r="K217" s="619"/>
      <c r="L217" s="619"/>
      <c r="M217" s="619"/>
      <c r="N217" s="619"/>
      <c r="O217" s="619"/>
      <c r="P217" s="619"/>
      <c r="Q217" s="620"/>
      <c r="R217" s="80"/>
      <c r="T217" s="149"/>
      <c r="U217" s="149"/>
    </row>
    <row r="218" spans="2:21" s="79" customFormat="1" ht="16" x14ac:dyDescent="0.2">
      <c r="B218" s="165"/>
      <c r="C218" s="618"/>
      <c r="D218" s="619"/>
      <c r="E218" s="619"/>
      <c r="F218" s="619"/>
      <c r="G218" s="619"/>
      <c r="H218" s="619"/>
      <c r="I218" s="619"/>
      <c r="J218" s="619"/>
      <c r="K218" s="619"/>
      <c r="L218" s="619"/>
      <c r="M218" s="619"/>
      <c r="N218" s="619"/>
      <c r="O218" s="619"/>
      <c r="P218" s="619"/>
      <c r="Q218" s="620"/>
      <c r="R218" s="80"/>
    </row>
    <row r="219" spans="2:21" s="79" customFormat="1" ht="16" x14ac:dyDescent="0.2">
      <c r="B219" s="165"/>
      <c r="C219" s="618"/>
      <c r="D219" s="619"/>
      <c r="E219" s="619"/>
      <c r="F219" s="619"/>
      <c r="G219" s="619"/>
      <c r="H219" s="619"/>
      <c r="I219" s="619"/>
      <c r="J219" s="619"/>
      <c r="K219" s="619"/>
      <c r="L219" s="619"/>
      <c r="M219" s="619"/>
      <c r="N219" s="619"/>
      <c r="O219" s="619"/>
      <c r="P219" s="619"/>
      <c r="Q219" s="620"/>
      <c r="R219" s="80"/>
    </row>
    <row r="220" spans="2:21" s="79" customFormat="1" ht="16" x14ac:dyDescent="0.2">
      <c r="B220" s="165"/>
      <c r="C220" s="618"/>
      <c r="D220" s="619"/>
      <c r="E220" s="619"/>
      <c r="F220" s="619"/>
      <c r="G220" s="619"/>
      <c r="H220" s="619"/>
      <c r="I220" s="619"/>
      <c r="J220" s="619"/>
      <c r="K220" s="619"/>
      <c r="L220" s="619"/>
      <c r="M220" s="619"/>
      <c r="N220" s="619"/>
      <c r="O220" s="619"/>
      <c r="P220" s="619"/>
      <c r="Q220" s="620"/>
      <c r="R220" s="80"/>
    </row>
    <row r="221" spans="2:21" s="79" customFormat="1" ht="16" x14ac:dyDescent="0.2">
      <c r="B221" s="165"/>
      <c r="C221" s="618"/>
      <c r="D221" s="619"/>
      <c r="E221" s="619"/>
      <c r="F221" s="619"/>
      <c r="G221" s="619"/>
      <c r="H221" s="619"/>
      <c r="I221" s="619"/>
      <c r="J221" s="619"/>
      <c r="K221" s="619"/>
      <c r="L221" s="619"/>
      <c r="M221" s="619"/>
      <c r="N221" s="619"/>
      <c r="O221" s="619"/>
      <c r="P221" s="619"/>
      <c r="Q221" s="620"/>
      <c r="R221" s="80"/>
    </row>
    <row r="222" spans="2:21" s="79" customFormat="1" ht="16" x14ac:dyDescent="0.2">
      <c r="B222" s="165"/>
      <c r="C222" s="618"/>
      <c r="D222" s="619"/>
      <c r="E222" s="619"/>
      <c r="F222" s="619"/>
      <c r="G222" s="619"/>
      <c r="H222" s="619"/>
      <c r="I222" s="619"/>
      <c r="J222" s="619"/>
      <c r="K222" s="619"/>
      <c r="L222" s="619"/>
      <c r="M222" s="619"/>
      <c r="N222" s="619"/>
      <c r="O222" s="619"/>
      <c r="P222" s="619"/>
      <c r="Q222" s="620"/>
      <c r="R222" s="80"/>
    </row>
    <row r="223" spans="2:21" s="79" customFormat="1" ht="16" x14ac:dyDescent="0.2">
      <c r="B223" s="165"/>
      <c r="C223" s="618"/>
      <c r="D223" s="619"/>
      <c r="E223" s="619"/>
      <c r="F223" s="619"/>
      <c r="G223" s="619"/>
      <c r="H223" s="619"/>
      <c r="I223" s="619"/>
      <c r="J223" s="619"/>
      <c r="K223" s="619"/>
      <c r="L223" s="619"/>
      <c r="M223" s="619"/>
      <c r="N223" s="619"/>
      <c r="O223" s="619"/>
      <c r="P223" s="619"/>
      <c r="Q223" s="620"/>
      <c r="R223" s="80"/>
    </row>
    <row r="224" spans="2:21" s="79" customFormat="1" ht="17" thickBot="1" x14ac:dyDescent="0.25">
      <c r="B224" s="165"/>
      <c r="C224" s="621"/>
      <c r="D224" s="622"/>
      <c r="E224" s="622"/>
      <c r="F224" s="622"/>
      <c r="G224" s="622"/>
      <c r="H224" s="622"/>
      <c r="I224" s="622"/>
      <c r="J224" s="622"/>
      <c r="K224" s="622"/>
      <c r="L224" s="622"/>
      <c r="M224" s="622"/>
      <c r="N224" s="622"/>
      <c r="O224" s="622"/>
      <c r="P224" s="622"/>
      <c r="Q224" s="623"/>
      <c r="R224" s="80"/>
    </row>
    <row r="225" spans="2:19" s="79" customFormat="1" ht="42.75" customHeight="1" thickBot="1" x14ac:dyDescent="0.25">
      <c r="B225" s="165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80"/>
    </row>
    <row r="226" spans="2:19" s="79" customFormat="1" ht="16" x14ac:dyDescent="0.2">
      <c r="B226" s="165"/>
      <c r="C226" s="589" t="s">
        <v>171</v>
      </c>
      <c r="D226" s="590"/>
      <c r="E226" s="590"/>
      <c r="F226" s="591"/>
      <c r="G226" s="613"/>
      <c r="H226" s="403"/>
      <c r="I226" s="403"/>
      <c r="J226" s="403"/>
      <c r="K226" s="403"/>
      <c r="L226" s="403"/>
      <c r="M226" s="403"/>
      <c r="N226" s="403"/>
      <c r="O226" s="403"/>
      <c r="P226" s="403"/>
      <c r="Q226" s="404"/>
      <c r="R226" s="80"/>
    </row>
    <row r="227" spans="2:19" s="79" customFormat="1" ht="16" x14ac:dyDescent="0.2">
      <c r="B227" s="165"/>
      <c r="C227" s="607" t="s">
        <v>173</v>
      </c>
      <c r="D227" s="608"/>
      <c r="E227" s="608"/>
      <c r="F227" s="684"/>
      <c r="G227" s="685"/>
      <c r="H227" s="686"/>
      <c r="I227" s="686"/>
      <c r="J227" s="686"/>
      <c r="K227" s="686"/>
      <c r="L227" s="686"/>
      <c r="M227" s="686"/>
      <c r="N227" s="686"/>
      <c r="O227" s="686"/>
      <c r="P227" s="686"/>
      <c r="Q227" s="687"/>
      <c r="R227" s="80"/>
    </row>
    <row r="228" spans="2:19" s="79" customFormat="1" ht="16" x14ac:dyDescent="0.2">
      <c r="B228" s="165"/>
      <c r="C228" s="607" t="s">
        <v>172</v>
      </c>
      <c r="D228" s="608"/>
      <c r="E228" s="608"/>
      <c r="F228" s="608"/>
      <c r="G228" s="614"/>
      <c r="H228" s="405"/>
      <c r="I228" s="405"/>
      <c r="J228" s="405"/>
      <c r="K228" s="405"/>
      <c r="L228" s="405"/>
      <c r="M228" s="405"/>
      <c r="N228" s="405"/>
      <c r="O228" s="405"/>
      <c r="P228" s="405"/>
      <c r="Q228" s="406"/>
      <c r="R228" s="80"/>
    </row>
    <row r="229" spans="2:19" s="79" customFormat="1" ht="17" thickBot="1" x14ac:dyDescent="0.25">
      <c r="B229" s="165"/>
      <c r="C229" s="602" t="s">
        <v>42</v>
      </c>
      <c r="D229" s="603"/>
      <c r="E229" s="603"/>
      <c r="F229" s="603"/>
      <c r="G229" s="612"/>
      <c r="H229" s="382"/>
      <c r="I229" s="382"/>
      <c r="J229" s="382"/>
      <c r="K229" s="382"/>
      <c r="L229" s="382"/>
      <c r="M229" s="382"/>
      <c r="N229" s="382"/>
      <c r="O229" s="382"/>
      <c r="P229" s="382"/>
      <c r="Q229" s="383"/>
      <c r="R229" s="80"/>
    </row>
    <row r="230" spans="2:19" s="79" customFormat="1" ht="17" thickBot="1" x14ac:dyDescent="0.25">
      <c r="B230" s="256"/>
      <c r="C230" s="257"/>
      <c r="D230" s="257"/>
      <c r="E230" s="257"/>
      <c r="F230" s="257"/>
      <c r="G230" s="257"/>
      <c r="H230" s="257"/>
      <c r="I230" s="257"/>
      <c r="J230" s="257"/>
      <c r="K230" s="257"/>
      <c r="L230" s="257"/>
      <c r="M230" s="257"/>
      <c r="N230" s="257"/>
      <c r="O230" s="257"/>
      <c r="P230" s="257"/>
      <c r="Q230" s="257"/>
      <c r="R230" s="258"/>
    </row>
    <row r="231" spans="2:19" s="79" customFormat="1" ht="16" x14ac:dyDescent="0.2"/>
    <row r="232" spans="2:19" s="79" customFormat="1" ht="15.75" customHeight="1" x14ac:dyDescent="0.2">
      <c r="J232" s="447" t="s">
        <v>179</v>
      </c>
      <c r="K232" s="447"/>
      <c r="L232" s="447"/>
      <c r="M232" s="447"/>
      <c r="N232" s="447"/>
      <c r="O232" s="447"/>
      <c r="P232" s="447"/>
      <c r="Q232" s="447"/>
      <c r="R232" s="447"/>
      <c r="S232" s="353"/>
    </row>
    <row r="235" spans="2:19" x14ac:dyDescent="0.2">
      <c r="E235" s="348"/>
    </row>
  </sheetData>
  <sheetProtection insertRows="0" selectLockedCells="1"/>
  <mergeCells count="438">
    <mergeCell ref="T152:T156"/>
    <mergeCell ref="T50:T52"/>
    <mergeCell ref="T103:T105"/>
    <mergeCell ref="P30:Q32"/>
    <mergeCell ref="O57:O65"/>
    <mergeCell ref="N57:N65"/>
    <mergeCell ref="N30:N31"/>
    <mergeCell ref="N124:O124"/>
    <mergeCell ref="N119:O119"/>
    <mergeCell ref="L94:O94"/>
    <mergeCell ref="C227:F227"/>
    <mergeCell ref="G227:Q227"/>
    <mergeCell ref="C160:Q160"/>
    <mergeCell ref="M139:O139"/>
    <mergeCell ref="C213:E213"/>
    <mergeCell ref="C200:E200"/>
    <mergeCell ref="J141:L141"/>
    <mergeCell ref="M141:O141"/>
    <mergeCell ref="H140:I140"/>
    <mergeCell ref="M144:O144"/>
    <mergeCell ref="H143:I143"/>
    <mergeCell ref="H142:I142"/>
    <mergeCell ref="H141:I141"/>
    <mergeCell ref="M138:O138"/>
    <mergeCell ref="J232:R232"/>
    <mergeCell ref="J196:M196"/>
    <mergeCell ref="J197:M197"/>
    <mergeCell ref="J139:L139"/>
    <mergeCell ref="J138:L138"/>
    <mergeCell ref="C146:Q146"/>
    <mergeCell ref="F139:G139"/>
    <mergeCell ref="P193:Q193"/>
    <mergeCell ref="C158:L158"/>
    <mergeCell ref="F140:G140"/>
    <mergeCell ref="P174:Q174"/>
    <mergeCell ref="D171:E171"/>
    <mergeCell ref="D172:E172"/>
    <mergeCell ref="D166:E167"/>
    <mergeCell ref="F166:F167"/>
    <mergeCell ref="D168:E168"/>
    <mergeCell ref="F141:G141"/>
    <mergeCell ref="E5:N5"/>
    <mergeCell ref="G166:G167"/>
    <mergeCell ref="D174:E174"/>
    <mergeCell ref="J190:M191"/>
    <mergeCell ref="L169:M169"/>
    <mergeCell ref="L174:M174"/>
    <mergeCell ref="C127:Q127"/>
    <mergeCell ref="N116:O116"/>
    <mergeCell ref="N117:O117"/>
    <mergeCell ref="N118:O118"/>
    <mergeCell ref="F13:Q13"/>
    <mergeCell ref="G226:Q226"/>
    <mergeCell ref="G228:Q228"/>
    <mergeCell ref="N196:O196"/>
    <mergeCell ref="N197:O197"/>
    <mergeCell ref="J198:M198"/>
    <mergeCell ref="F138:G138"/>
    <mergeCell ref="C162:M162"/>
    <mergeCell ref="M137:O137"/>
    <mergeCell ref="J136:L136"/>
    <mergeCell ref="C3:Q3"/>
    <mergeCell ref="C45:Q45"/>
    <mergeCell ref="F14:Q14"/>
    <mergeCell ref="M142:O142"/>
    <mergeCell ref="E6:N6"/>
    <mergeCell ref="E7:N7"/>
    <mergeCell ref="E8:N8"/>
    <mergeCell ref="E10:N10"/>
    <mergeCell ref="I48:J48"/>
    <mergeCell ref="C16:F16"/>
    <mergeCell ref="C49:E49"/>
    <mergeCell ref="C55:E55"/>
    <mergeCell ref="C60:M61"/>
    <mergeCell ref="C47:E48"/>
    <mergeCell ref="T214:U215"/>
    <mergeCell ref="P198:Q198"/>
    <mergeCell ref="N198:O198"/>
    <mergeCell ref="P172:Q172"/>
    <mergeCell ref="P173:Q173"/>
    <mergeCell ref="I68:J68"/>
    <mergeCell ref="C19:D20"/>
    <mergeCell ref="C67:D67"/>
    <mergeCell ref="E19:Q20"/>
    <mergeCell ref="L82:M82"/>
    <mergeCell ref="M140:O140"/>
    <mergeCell ref="C107:C109"/>
    <mergeCell ref="C104:D104"/>
    <mergeCell ref="P107:Q108"/>
    <mergeCell ref="I49:J49"/>
    <mergeCell ref="C24:D24"/>
    <mergeCell ref="D107:G107"/>
    <mergeCell ref="I52:J52"/>
    <mergeCell ref="I55:J55"/>
    <mergeCell ref="C54:E54"/>
    <mergeCell ref="D133:E133"/>
    <mergeCell ref="J108:J109"/>
    <mergeCell ref="I73:J73"/>
    <mergeCell ref="I82:J82"/>
    <mergeCell ref="I81:J81"/>
    <mergeCell ref="H133:I133"/>
    <mergeCell ref="P103:Q105"/>
    <mergeCell ref="H108:I108"/>
    <mergeCell ref="C56:E56"/>
    <mergeCell ref="I62:I64"/>
    <mergeCell ref="D108:E108"/>
    <mergeCell ref="I87:J87"/>
    <mergeCell ref="I56:J56"/>
    <mergeCell ref="G108:G109"/>
    <mergeCell ref="I71:J71"/>
    <mergeCell ref="C214:Q224"/>
    <mergeCell ref="D135:E135"/>
    <mergeCell ref="C147:Q147"/>
    <mergeCell ref="P194:Q194"/>
    <mergeCell ref="P195:Q195"/>
    <mergeCell ref="H134:I134"/>
    <mergeCell ref="P192:Q192"/>
    <mergeCell ref="C178:C179"/>
    <mergeCell ref="D169:E169"/>
    <mergeCell ref="D170:E170"/>
    <mergeCell ref="C229:F229"/>
    <mergeCell ref="C164:L164"/>
    <mergeCell ref="J144:L144"/>
    <mergeCell ref="C228:F228"/>
    <mergeCell ref="D196:E196"/>
    <mergeCell ref="L172:M172"/>
    <mergeCell ref="L156:N156"/>
    <mergeCell ref="J194:M194"/>
    <mergeCell ref="G229:Q229"/>
    <mergeCell ref="C201:Q211"/>
    <mergeCell ref="P197:Q197"/>
    <mergeCell ref="F137:G137"/>
    <mergeCell ref="F142:G142"/>
    <mergeCell ref="F144:G144"/>
    <mergeCell ref="G154:H154"/>
    <mergeCell ref="P181:Q181"/>
    <mergeCell ref="P183:Q183"/>
    <mergeCell ref="P185:Q185"/>
    <mergeCell ref="N180:O180"/>
    <mergeCell ref="P196:Q196"/>
    <mergeCell ref="F134:G134"/>
    <mergeCell ref="J135:L135"/>
    <mergeCell ref="K116:L116"/>
    <mergeCell ref="K117:L117"/>
    <mergeCell ref="P186:Q186"/>
    <mergeCell ref="N115:O115"/>
    <mergeCell ref="C129:Q129"/>
    <mergeCell ref="J133:L133"/>
    <mergeCell ref="P178:Q179"/>
    <mergeCell ref="K152:M153"/>
    <mergeCell ref="C226:F226"/>
    <mergeCell ref="K121:L121"/>
    <mergeCell ref="K122:L122"/>
    <mergeCell ref="F132:G132"/>
    <mergeCell ref="F133:G133"/>
    <mergeCell ref="H132:I132"/>
    <mergeCell ref="C166:C167"/>
    <mergeCell ref="L166:M167"/>
    <mergeCell ref="M134:O134"/>
    <mergeCell ref="C130:N130"/>
    <mergeCell ref="P180:Q180"/>
    <mergeCell ref="N182:O182"/>
    <mergeCell ref="N195:O195"/>
    <mergeCell ref="P182:Q182"/>
    <mergeCell ref="P184:Q184"/>
    <mergeCell ref="C190:C191"/>
    <mergeCell ref="D195:E195"/>
    <mergeCell ref="N193:O193"/>
    <mergeCell ref="P190:Q191"/>
    <mergeCell ref="D184:E184"/>
    <mergeCell ref="J180:K180"/>
    <mergeCell ref="L180:M180"/>
    <mergeCell ref="N192:O192"/>
    <mergeCell ref="D183:E183"/>
    <mergeCell ref="J185:K185"/>
    <mergeCell ref="L185:M185"/>
    <mergeCell ref="N185:O185"/>
    <mergeCell ref="N171:O171"/>
    <mergeCell ref="N190:O191"/>
    <mergeCell ref="N178:O179"/>
    <mergeCell ref="L173:M173"/>
    <mergeCell ref="C176:L176"/>
    <mergeCell ref="L178:M179"/>
    <mergeCell ref="D185:E185"/>
    <mergeCell ref="N174:O174"/>
    <mergeCell ref="J183:K183"/>
    <mergeCell ref="D180:E180"/>
    <mergeCell ref="D198:E198"/>
    <mergeCell ref="D190:E191"/>
    <mergeCell ref="F190:I190"/>
    <mergeCell ref="D192:E192"/>
    <mergeCell ref="D194:E194"/>
    <mergeCell ref="D193:E193"/>
    <mergeCell ref="D197:E197"/>
    <mergeCell ref="N194:O194"/>
    <mergeCell ref="G155:H155"/>
    <mergeCell ref="G153:H153"/>
    <mergeCell ref="J143:L143"/>
    <mergeCell ref="M143:O143"/>
    <mergeCell ref="P168:Q168"/>
    <mergeCell ref="P169:Q169"/>
    <mergeCell ref="P170:Q170"/>
    <mergeCell ref="J166:K167"/>
    <mergeCell ref="G152:H152"/>
    <mergeCell ref="M133:O133"/>
    <mergeCell ref="T12:W12"/>
    <mergeCell ref="T14:V14"/>
    <mergeCell ref="T15:V15"/>
    <mergeCell ref="L90:O90"/>
    <mergeCell ref="P171:Q171"/>
    <mergeCell ref="M135:O135"/>
    <mergeCell ref="N168:O168"/>
    <mergeCell ref="N169:O169"/>
    <mergeCell ref="L168:M168"/>
    <mergeCell ref="N123:O123"/>
    <mergeCell ref="C128:Q128"/>
    <mergeCell ref="D132:E132"/>
    <mergeCell ref="T8:V8"/>
    <mergeCell ref="T9:V9"/>
    <mergeCell ref="T10:Z10"/>
    <mergeCell ref="T11:Z11"/>
    <mergeCell ref="K114:L114"/>
    <mergeCell ref="K110:L110"/>
    <mergeCell ref="I78:J78"/>
    <mergeCell ref="N166:O167"/>
    <mergeCell ref="P166:Q167"/>
    <mergeCell ref="F135:G135"/>
    <mergeCell ref="H135:I135"/>
    <mergeCell ref="H144:I144"/>
    <mergeCell ref="H136:I136"/>
    <mergeCell ref="C150:I150"/>
    <mergeCell ref="F136:G136"/>
    <mergeCell ref="J137:L137"/>
    <mergeCell ref="J140:L140"/>
    <mergeCell ref="D5:D8"/>
    <mergeCell ref="P5:P8"/>
    <mergeCell ref="G16:J16"/>
    <mergeCell ref="I47:M47"/>
    <mergeCell ref="F12:Q12"/>
    <mergeCell ref="C12:E12"/>
    <mergeCell ref="C28:I28"/>
    <mergeCell ref="C30:F30"/>
    <mergeCell ref="G30:H30"/>
    <mergeCell ref="C13:E13"/>
    <mergeCell ref="T22:U22"/>
    <mergeCell ref="C14:E14"/>
    <mergeCell ref="I51:J51"/>
    <mergeCell ref="E24:Q24"/>
    <mergeCell ref="E22:Q22"/>
    <mergeCell ref="F47:H47"/>
    <mergeCell ref="C51:E51"/>
    <mergeCell ref="C50:E50"/>
    <mergeCell ref="K49:L49"/>
    <mergeCell ref="K50:L50"/>
    <mergeCell ref="I69:J69"/>
    <mergeCell ref="I53:J53"/>
    <mergeCell ref="C52:E52"/>
    <mergeCell ref="C22:D22"/>
    <mergeCell ref="C26:Q26"/>
    <mergeCell ref="T46:W47"/>
    <mergeCell ref="C53:E53"/>
    <mergeCell ref="K53:L53"/>
    <mergeCell ref="P48:Q48"/>
    <mergeCell ref="P49:Q49"/>
    <mergeCell ref="I84:J84"/>
    <mergeCell ref="I86:J86"/>
    <mergeCell ref="I85:J85"/>
    <mergeCell ref="I89:J89"/>
    <mergeCell ref="I83:J83"/>
    <mergeCell ref="T13:X13"/>
    <mergeCell ref="K48:L48"/>
    <mergeCell ref="K51:L51"/>
    <mergeCell ref="K52:L52"/>
    <mergeCell ref="T24:W24"/>
    <mergeCell ref="P51:Q51"/>
    <mergeCell ref="T25:W25"/>
    <mergeCell ref="T26:W44"/>
    <mergeCell ref="P53:Q53"/>
    <mergeCell ref="I70:J70"/>
    <mergeCell ref="I80:J80"/>
    <mergeCell ref="I79:J79"/>
    <mergeCell ref="I76:J76"/>
    <mergeCell ref="I50:J50"/>
    <mergeCell ref="I54:J54"/>
    <mergeCell ref="C58:F58"/>
    <mergeCell ref="I92:J92"/>
    <mergeCell ref="I88:J88"/>
    <mergeCell ref="K115:L115"/>
    <mergeCell ref="K119:L119"/>
    <mergeCell ref="K120:L120"/>
    <mergeCell ref="I72:J72"/>
    <mergeCell ref="L87:O87"/>
    <mergeCell ref="L88:O88"/>
    <mergeCell ref="L89:O89"/>
    <mergeCell ref="D134:E134"/>
    <mergeCell ref="I90:J90"/>
    <mergeCell ref="I93:J93"/>
    <mergeCell ref="D136:E136"/>
    <mergeCell ref="D144:E144"/>
    <mergeCell ref="D137:E137"/>
    <mergeCell ref="C126:Q126"/>
    <mergeCell ref="M132:O132"/>
    <mergeCell ref="M107:M109"/>
    <mergeCell ref="K113:L113"/>
    <mergeCell ref="K123:L123"/>
    <mergeCell ref="K124:L124"/>
    <mergeCell ref="K118:L118"/>
    <mergeCell ref="N114:O114"/>
    <mergeCell ref="C101:J101"/>
    <mergeCell ref="C102:J102"/>
    <mergeCell ref="K108:L109"/>
    <mergeCell ref="N112:O112"/>
    <mergeCell ref="N107:O109"/>
    <mergeCell ref="F108:F109"/>
    <mergeCell ref="H137:I137"/>
    <mergeCell ref="J142:L142"/>
    <mergeCell ref="J134:L134"/>
    <mergeCell ref="N113:O113"/>
    <mergeCell ref="N110:O110"/>
    <mergeCell ref="J132:L132"/>
    <mergeCell ref="N120:O120"/>
    <mergeCell ref="N121:O121"/>
    <mergeCell ref="N122:O122"/>
    <mergeCell ref="N111:O111"/>
    <mergeCell ref="K111:L111"/>
    <mergeCell ref="L97:O97"/>
    <mergeCell ref="L96:O96"/>
    <mergeCell ref="N173:O173"/>
    <mergeCell ref="L171:M171"/>
    <mergeCell ref="J173:K173"/>
    <mergeCell ref="J171:K171"/>
    <mergeCell ref="N170:O170"/>
    <mergeCell ref="N172:O172"/>
    <mergeCell ref="M136:O136"/>
    <mergeCell ref="L170:M170"/>
    <mergeCell ref="J170:K170"/>
    <mergeCell ref="G31:H31"/>
    <mergeCell ref="D33:E33"/>
    <mergeCell ref="D34:E34"/>
    <mergeCell ref="G34:O34"/>
    <mergeCell ref="D35:E35"/>
    <mergeCell ref="G35:O35"/>
    <mergeCell ref="J30:J31"/>
    <mergeCell ref="L81:N81"/>
    <mergeCell ref="K30:K31"/>
    <mergeCell ref="C31:F31"/>
    <mergeCell ref="M30:M31"/>
    <mergeCell ref="G41:O41"/>
    <mergeCell ref="D36:E36"/>
    <mergeCell ref="G36:O36"/>
    <mergeCell ref="D37:E37"/>
    <mergeCell ref="G37:O37"/>
    <mergeCell ref="D38:E38"/>
    <mergeCell ref="G38:O38"/>
    <mergeCell ref="G43:O43"/>
    <mergeCell ref="N47:Q47"/>
    <mergeCell ref="P52:Q52"/>
    <mergeCell ref="P55:Q55"/>
    <mergeCell ref="F57:G57"/>
    <mergeCell ref="D39:E39"/>
    <mergeCell ref="G39:O39"/>
    <mergeCell ref="D40:E40"/>
    <mergeCell ref="G40:O40"/>
    <mergeCell ref="D41:E41"/>
    <mergeCell ref="I91:J91"/>
    <mergeCell ref="I96:J96"/>
    <mergeCell ref="I75:J75"/>
    <mergeCell ref="L95:O95"/>
    <mergeCell ref="I57:L57"/>
    <mergeCell ref="P50:Q50"/>
    <mergeCell ref="L67:M67"/>
    <mergeCell ref="I77:J77"/>
    <mergeCell ref="I74:J74"/>
    <mergeCell ref="P54:Q54"/>
    <mergeCell ref="D43:E43"/>
    <mergeCell ref="D142:E142"/>
    <mergeCell ref="D143:E143"/>
    <mergeCell ref="F143:G143"/>
    <mergeCell ref="H138:I138"/>
    <mergeCell ref="H139:I139"/>
    <mergeCell ref="I97:J97"/>
    <mergeCell ref="I98:O98"/>
    <mergeCell ref="H107:L107"/>
    <mergeCell ref="C105:D105"/>
    <mergeCell ref="D141:E141"/>
    <mergeCell ref="D42:E42"/>
    <mergeCell ref="G42:O42"/>
    <mergeCell ref="K54:L54"/>
    <mergeCell ref="K55:L55"/>
    <mergeCell ref="K56:L56"/>
    <mergeCell ref="K112:L112"/>
    <mergeCell ref="I94:J94"/>
    <mergeCell ref="I95:J95"/>
    <mergeCell ref="C100:J100"/>
    <mergeCell ref="D173:E173"/>
    <mergeCell ref="C152:D152"/>
    <mergeCell ref="C153:D153"/>
    <mergeCell ref="C154:D154"/>
    <mergeCell ref="C155:D155"/>
    <mergeCell ref="P56:Q56"/>
    <mergeCell ref="D138:E138"/>
    <mergeCell ref="C148:Q148"/>
    <mergeCell ref="D139:E139"/>
    <mergeCell ref="D140:E140"/>
    <mergeCell ref="G178:G179"/>
    <mergeCell ref="H178:I178"/>
    <mergeCell ref="J174:K174"/>
    <mergeCell ref="H166:I166"/>
    <mergeCell ref="J168:K168"/>
    <mergeCell ref="J169:K169"/>
    <mergeCell ref="J172:K172"/>
    <mergeCell ref="C156:D156"/>
    <mergeCell ref="D181:E181"/>
    <mergeCell ref="J181:K181"/>
    <mergeCell ref="L181:M181"/>
    <mergeCell ref="D182:E182"/>
    <mergeCell ref="J182:K182"/>
    <mergeCell ref="L182:M182"/>
    <mergeCell ref="G156:H156"/>
    <mergeCell ref="D178:E179"/>
    <mergeCell ref="F178:F179"/>
    <mergeCell ref="D186:E186"/>
    <mergeCell ref="J186:K186"/>
    <mergeCell ref="L186:M186"/>
    <mergeCell ref="J184:K184"/>
    <mergeCell ref="L184:M184"/>
    <mergeCell ref="J195:M195"/>
    <mergeCell ref="C188:H188"/>
    <mergeCell ref="L91:Q91"/>
    <mergeCell ref="J192:M192"/>
    <mergeCell ref="J193:M193"/>
    <mergeCell ref="J178:K179"/>
    <mergeCell ref="N186:O186"/>
    <mergeCell ref="L183:M183"/>
    <mergeCell ref="N183:O183"/>
    <mergeCell ref="N181:O181"/>
    <mergeCell ref="N184:O184"/>
    <mergeCell ref="L103:M105"/>
  </mergeCells>
  <pageMargins left="0.39370078740157483" right="0.39370078740157483" top="0.35433070866141736" bottom="0.35433070866141736" header="0.31496062992125984" footer="0.31496062992125984"/>
  <pageSetup scale="70" orientation="portrait" horizontalDpi="200" verticalDpi="2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E66DC-BB00-9E4A-B3CC-06B5B7B8E5BD}">
  <dimension ref="B1:AB90"/>
  <sheetViews>
    <sheetView topLeftCell="B112" zoomScale="70" zoomScaleNormal="70" workbookViewId="0">
      <selection activeCell="C16" sqref="C16:F16"/>
    </sheetView>
  </sheetViews>
  <sheetFormatPr baseColWidth="10" defaultColWidth="11.5" defaultRowHeight="15" x14ac:dyDescent="0.2"/>
  <cols>
    <col min="1" max="1" width="5.83203125" style="40" customWidth="1"/>
    <col min="2" max="2" width="5.6640625" style="40" customWidth="1"/>
    <col min="3" max="3" width="12.83203125" style="40" customWidth="1"/>
    <col min="4" max="4" width="11.33203125" style="40" customWidth="1"/>
    <col min="5" max="5" width="17.83203125" style="40" customWidth="1"/>
    <col min="6" max="6" width="21.5" style="40" customWidth="1"/>
    <col min="7" max="7" width="12.6640625" style="40" customWidth="1"/>
    <col min="8" max="9" width="13.5" style="40" customWidth="1"/>
    <col min="10" max="10" width="12.83203125" style="40" customWidth="1"/>
    <col min="11" max="11" width="18.5" style="40" customWidth="1"/>
    <col min="12" max="12" width="14.33203125" style="40" customWidth="1"/>
    <col min="13" max="13" width="16.83203125" style="40" customWidth="1"/>
    <col min="14" max="16" width="12.6640625" style="40" customWidth="1"/>
    <col min="17" max="17" width="14.33203125" style="40" customWidth="1"/>
    <col min="18" max="18" width="5.5" style="40" customWidth="1"/>
    <col min="19" max="19" width="49" style="40" customWidth="1"/>
    <col min="20" max="20" width="15.6640625" style="40" customWidth="1"/>
    <col min="21" max="24" width="11.6640625" style="40" bestFit="1" customWidth="1"/>
    <col min="25" max="26" width="11.5" style="40"/>
    <col min="27" max="27" width="11.5" style="40" customWidth="1"/>
    <col min="28" max="16384" width="11.5" style="40"/>
  </cols>
  <sheetData>
    <row r="1" spans="2:18" ht="15.75" customHeight="1" thickBot="1" x14ac:dyDescent="0.25"/>
    <row r="2" spans="2:18" ht="8.25" customHeight="1" x14ac:dyDescent="0.2"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5"/>
    </row>
    <row r="3" spans="2:18" ht="24" x14ac:dyDescent="0.2">
      <c r="B3" s="6"/>
      <c r="C3" s="393" t="s">
        <v>79</v>
      </c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9"/>
    </row>
    <row r="4" spans="2:18" ht="16" thickBot="1" x14ac:dyDescent="0.25"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1"/>
      <c r="P4" s="1"/>
      <c r="Q4" s="1"/>
      <c r="R4" s="9"/>
    </row>
    <row r="5" spans="2:18" s="41" customFormat="1" ht="18.75" customHeight="1" x14ac:dyDescent="0.2">
      <c r="B5" s="20"/>
      <c r="C5" s="11"/>
      <c r="D5" s="402"/>
      <c r="E5" s="678" t="s">
        <v>133</v>
      </c>
      <c r="F5" s="678"/>
      <c r="G5" s="678"/>
      <c r="H5" s="678"/>
      <c r="I5" s="678"/>
      <c r="J5" s="678"/>
      <c r="K5" s="678"/>
      <c r="L5" s="678"/>
      <c r="M5" s="678"/>
      <c r="N5" s="678"/>
      <c r="O5" s="11"/>
      <c r="P5" s="396" t="s">
        <v>52</v>
      </c>
      <c r="Q5" s="122"/>
      <c r="R5" s="16"/>
    </row>
    <row r="6" spans="2:18" s="41" customFormat="1" ht="18.75" customHeight="1" x14ac:dyDescent="0.2">
      <c r="B6" s="10"/>
      <c r="C6" s="12"/>
      <c r="D6" s="402"/>
      <c r="E6" s="401" t="s">
        <v>20</v>
      </c>
      <c r="F6" s="401"/>
      <c r="G6" s="401"/>
      <c r="H6" s="401"/>
      <c r="I6" s="401"/>
      <c r="J6" s="401"/>
      <c r="K6" s="401"/>
      <c r="L6" s="401"/>
      <c r="M6" s="401"/>
      <c r="N6" s="401"/>
      <c r="O6" s="12"/>
      <c r="P6" s="397"/>
      <c r="Q6" s="122"/>
      <c r="R6" s="16"/>
    </row>
    <row r="7" spans="2:18" s="41" customFormat="1" ht="18.75" customHeight="1" x14ac:dyDescent="0.2">
      <c r="B7" s="21"/>
      <c r="C7" s="12"/>
      <c r="D7" s="402"/>
      <c r="E7" s="401" t="s">
        <v>113</v>
      </c>
      <c r="F7" s="401"/>
      <c r="G7" s="401"/>
      <c r="H7" s="401"/>
      <c r="I7" s="401"/>
      <c r="J7" s="401"/>
      <c r="K7" s="401"/>
      <c r="L7" s="401"/>
      <c r="M7" s="401"/>
      <c r="N7" s="401"/>
      <c r="O7" s="12"/>
      <c r="P7" s="397"/>
      <c r="Q7" s="122"/>
      <c r="R7" s="16"/>
    </row>
    <row r="8" spans="2:18" s="41" customFormat="1" ht="19.5" customHeight="1" thickBot="1" x14ac:dyDescent="0.25">
      <c r="B8" s="21"/>
      <c r="C8" s="12"/>
      <c r="D8" s="402"/>
      <c r="E8" s="401" t="s">
        <v>149</v>
      </c>
      <c r="F8" s="401"/>
      <c r="G8" s="401"/>
      <c r="H8" s="401"/>
      <c r="I8" s="401"/>
      <c r="J8" s="401"/>
      <c r="K8" s="401"/>
      <c r="L8" s="401"/>
      <c r="M8" s="401"/>
      <c r="N8" s="401"/>
      <c r="O8" s="12"/>
      <c r="P8" s="398"/>
      <c r="Q8" s="122"/>
      <c r="R8" s="16"/>
    </row>
    <row r="9" spans="2:18" s="41" customFormat="1" ht="19" x14ac:dyDescent="0.2">
      <c r="B9" s="10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2"/>
      <c r="O9" s="122"/>
      <c r="P9" s="122"/>
      <c r="Q9" s="122"/>
      <c r="R9" s="16"/>
    </row>
    <row r="10" spans="2:18" s="41" customFormat="1" ht="19.5" customHeight="1" x14ac:dyDescent="0.2">
      <c r="B10" s="10"/>
      <c r="C10" s="122"/>
      <c r="D10" s="122"/>
      <c r="E10" s="714">
        <f>'Inf. Preliminar'!E10</f>
        <v>0</v>
      </c>
      <c r="F10" s="714"/>
      <c r="G10" s="714"/>
      <c r="H10" s="714"/>
      <c r="I10" s="714"/>
      <c r="J10" s="714"/>
      <c r="K10" s="714"/>
      <c r="L10" s="714"/>
      <c r="M10" s="714"/>
      <c r="N10" s="714"/>
      <c r="O10" s="2"/>
      <c r="P10" s="122"/>
      <c r="Q10" s="122"/>
      <c r="R10" s="16"/>
    </row>
    <row r="11" spans="2:18" s="41" customFormat="1" ht="20" thickBot="1" x14ac:dyDescent="0.25">
      <c r="B11" s="10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2"/>
      <c r="P11" s="122"/>
      <c r="Q11" s="122"/>
      <c r="R11" s="16"/>
    </row>
    <row r="12" spans="2:18" s="41" customFormat="1" ht="18.75" customHeight="1" x14ac:dyDescent="0.2">
      <c r="B12" s="10"/>
      <c r="C12" s="365" t="s">
        <v>49</v>
      </c>
      <c r="D12" s="366"/>
      <c r="E12" s="366"/>
      <c r="F12" s="734">
        <f>'Inf. Preliminar'!F12</f>
        <v>0</v>
      </c>
      <c r="G12" s="734"/>
      <c r="H12" s="734"/>
      <c r="I12" s="734"/>
      <c r="J12" s="734"/>
      <c r="K12" s="734"/>
      <c r="L12" s="734"/>
      <c r="M12" s="734"/>
      <c r="N12" s="734"/>
      <c r="O12" s="734"/>
      <c r="P12" s="734"/>
      <c r="Q12" s="735"/>
      <c r="R12" s="16"/>
    </row>
    <row r="13" spans="2:18" s="41" customFormat="1" ht="18.75" customHeight="1" x14ac:dyDescent="0.2">
      <c r="B13" s="10"/>
      <c r="C13" s="428" t="s">
        <v>50</v>
      </c>
      <c r="D13" s="429"/>
      <c r="E13" s="429"/>
      <c r="F13" s="736">
        <f>'Inf. Preliminar'!F13</f>
        <v>0</v>
      </c>
      <c r="G13" s="736"/>
      <c r="H13" s="736"/>
      <c r="I13" s="736"/>
      <c r="J13" s="736"/>
      <c r="K13" s="736"/>
      <c r="L13" s="736"/>
      <c r="M13" s="736"/>
      <c r="N13" s="736"/>
      <c r="O13" s="736"/>
      <c r="P13" s="736"/>
      <c r="Q13" s="737"/>
      <c r="R13" s="16"/>
    </row>
    <row r="14" spans="2:18" s="41" customFormat="1" ht="19.5" customHeight="1" thickBot="1" x14ac:dyDescent="0.25">
      <c r="B14" s="10"/>
      <c r="C14" s="367" t="s">
        <v>51</v>
      </c>
      <c r="D14" s="368"/>
      <c r="E14" s="368"/>
      <c r="F14" s="738">
        <f>'Inf. Preliminar'!F14</f>
        <v>0</v>
      </c>
      <c r="G14" s="738"/>
      <c r="H14" s="738"/>
      <c r="I14" s="738"/>
      <c r="J14" s="738"/>
      <c r="K14" s="738"/>
      <c r="L14" s="738"/>
      <c r="M14" s="738"/>
      <c r="N14" s="738"/>
      <c r="O14" s="738"/>
      <c r="P14" s="738"/>
      <c r="Q14" s="739"/>
      <c r="R14" s="16"/>
    </row>
    <row r="15" spans="2:18" s="41" customFormat="1" ht="27" customHeight="1" thickBot="1" x14ac:dyDescent="0.25">
      <c r="B15" s="10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2"/>
      <c r="P15" s="122"/>
      <c r="Q15" s="122"/>
      <c r="R15" s="16"/>
    </row>
    <row r="16" spans="2:18" s="32" customFormat="1" ht="20" thickBot="1" x14ac:dyDescent="0.25">
      <c r="B16" s="22"/>
      <c r="C16" s="399" t="s">
        <v>191</v>
      </c>
      <c r="D16" s="411"/>
      <c r="E16" s="411"/>
      <c r="F16" s="400"/>
      <c r="G16" s="373"/>
      <c r="H16" s="374"/>
      <c r="I16" s="374"/>
      <c r="J16" s="374"/>
      <c r="K16" s="375"/>
      <c r="L16" s="4"/>
      <c r="M16" s="4"/>
      <c r="N16" s="4"/>
      <c r="O16" s="30"/>
      <c r="P16" s="30"/>
      <c r="Q16" s="122"/>
      <c r="R16" s="31"/>
    </row>
    <row r="17" spans="2:19" s="32" customFormat="1" ht="6" customHeight="1" thickBot="1" x14ac:dyDescent="0.25">
      <c r="B17" s="2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30"/>
      <c r="P17" s="30"/>
      <c r="Q17" s="122"/>
      <c r="R17" s="31"/>
    </row>
    <row r="18" spans="2:19" s="32" customFormat="1" ht="20" thickBot="1" x14ac:dyDescent="0.25">
      <c r="B18" s="22"/>
      <c r="C18" s="399" t="s">
        <v>185</v>
      </c>
      <c r="D18" s="411"/>
      <c r="E18" s="411"/>
      <c r="F18" s="400"/>
      <c r="G18" s="373"/>
      <c r="H18" s="374"/>
      <c r="I18" s="374"/>
      <c r="J18" s="374"/>
      <c r="K18" s="375"/>
      <c r="L18" s="4"/>
      <c r="M18" s="4"/>
      <c r="N18" s="4"/>
      <c r="O18" s="30"/>
      <c r="P18" s="30"/>
      <c r="Q18" s="122"/>
      <c r="R18" s="31"/>
    </row>
    <row r="19" spans="2:19" s="32" customFormat="1" ht="6.75" customHeight="1" thickBot="1" x14ac:dyDescent="0.25">
      <c r="B19" s="22"/>
      <c r="C19" s="154"/>
      <c r="D19" s="154"/>
      <c r="E19" s="154"/>
      <c r="F19" s="154"/>
      <c r="G19" s="5"/>
      <c r="H19" s="5"/>
      <c r="I19" s="5"/>
      <c r="J19" s="5"/>
      <c r="K19" s="5"/>
      <c r="L19" s="4"/>
      <c r="M19" s="4"/>
      <c r="N19" s="4"/>
      <c r="O19" s="30"/>
      <c r="P19" s="30"/>
      <c r="Q19" s="122"/>
      <c r="R19" s="31"/>
    </row>
    <row r="20" spans="2:19" s="32" customFormat="1" ht="18.75" customHeight="1" x14ac:dyDescent="0.2">
      <c r="B20" s="22"/>
      <c r="C20" s="744" t="s">
        <v>47</v>
      </c>
      <c r="D20" s="745"/>
      <c r="E20" s="748">
        <f>'Inf. Preliminar'!E28</f>
        <v>0</v>
      </c>
      <c r="F20" s="748"/>
      <c r="G20" s="748"/>
      <c r="H20" s="748"/>
      <c r="I20" s="748"/>
      <c r="J20" s="748"/>
      <c r="K20" s="748"/>
      <c r="L20" s="748"/>
      <c r="M20" s="748"/>
      <c r="N20" s="748"/>
      <c r="O20" s="748"/>
      <c r="P20" s="748"/>
      <c r="Q20" s="749"/>
      <c r="R20" s="31"/>
    </row>
    <row r="21" spans="2:19" s="32" customFormat="1" ht="17" thickBot="1" x14ac:dyDescent="0.25">
      <c r="B21" s="22"/>
      <c r="C21" s="746"/>
      <c r="D21" s="747"/>
      <c r="E21" s="750"/>
      <c r="F21" s="750"/>
      <c r="G21" s="750"/>
      <c r="H21" s="750"/>
      <c r="I21" s="750"/>
      <c r="J21" s="750"/>
      <c r="K21" s="750"/>
      <c r="L21" s="750"/>
      <c r="M21" s="750"/>
      <c r="N21" s="750"/>
      <c r="O21" s="750"/>
      <c r="P21" s="750"/>
      <c r="Q21" s="751"/>
      <c r="R21" s="31"/>
    </row>
    <row r="22" spans="2:19" s="32" customFormat="1" ht="39.75" customHeight="1" thickBot="1" x14ac:dyDescent="0.25">
      <c r="B22" s="22"/>
      <c r="C22" s="154"/>
      <c r="D22" s="15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31"/>
    </row>
    <row r="23" spans="2:19" s="32" customFormat="1" ht="24" customHeight="1" thickBot="1" x14ac:dyDescent="0.25">
      <c r="B23" s="22"/>
      <c r="C23" s="399" t="s">
        <v>122</v>
      </c>
      <c r="D23" s="411"/>
      <c r="E23" s="400"/>
      <c r="F23" s="732"/>
      <c r="G23" s="733"/>
      <c r="H23" s="4"/>
      <c r="I23" s="121" t="s">
        <v>152</v>
      </c>
      <c r="J23" s="732"/>
      <c r="K23" s="733"/>
      <c r="L23" s="4"/>
      <c r="M23" s="4"/>
      <c r="N23" s="4"/>
      <c r="O23" s="24"/>
      <c r="P23" s="23"/>
      <c r="Q23" s="24"/>
      <c r="R23" s="31"/>
    </row>
    <row r="24" spans="2:19" s="263" customFormat="1" ht="6" customHeight="1" thickBot="1" x14ac:dyDescent="0.25">
      <c r="B24" s="260"/>
      <c r="H24" s="261"/>
      <c r="R24" s="262"/>
    </row>
    <row r="25" spans="2:19" s="32" customFormat="1" ht="18" thickBot="1" x14ac:dyDescent="0.25">
      <c r="B25" s="22"/>
      <c r="C25" s="121" t="s">
        <v>107</v>
      </c>
      <c r="D25" s="84"/>
      <c r="E25" s="3"/>
      <c r="F25" s="121" t="s">
        <v>108</v>
      </c>
      <c r="G25" s="84"/>
      <c r="H25" s="30"/>
      <c r="I25" s="376" t="s">
        <v>109</v>
      </c>
      <c r="J25" s="377"/>
      <c r="K25" s="378"/>
      <c r="L25" s="380"/>
      <c r="M25" s="259"/>
      <c r="N25" s="360" t="s">
        <v>178</v>
      </c>
      <c r="O25" s="362"/>
      <c r="P25" s="378"/>
      <c r="Q25" s="380"/>
      <c r="R25" s="31"/>
    </row>
    <row r="26" spans="2:19" s="301" customFormat="1" ht="39.75" customHeight="1" thickBot="1" x14ac:dyDescent="0.25">
      <c r="B26" s="298"/>
      <c r="C26" s="771" t="str">
        <f>IF((D25+G25)=J23," ","Error - la suma de casos vivos y muertos debe ser igual al total de casos")</f>
        <v xml:space="preserve"> </v>
      </c>
      <c r="D26" s="771"/>
      <c r="E26" s="772"/>
      <c r="F26" s="771"/>
      <c r="G26" s="771"/>
      <c r="H26" s="299"/>
      <c r="I26" s="773" t="str">
        <f>IF((K25+P25)=J23," ","Error - la suma de casos vivos y muertos debe ser igual al total de casos")</f>
        <v xml:space="preserve"> </v>
      </c>
      <c r="J26" s="773"/>
      <c r="K26" s="773"/>
      <c r="L26" s="773"/>
      <c r="M26" s="773"/>
      <c r="N26" s="773"/>
      <c r="O26" s="773"/>
      <c r="P26" s="773"/>
      <c r="Q26" s="773"/>
      <c r="R26" s="300"/>
    </row>
    <row r="27" spans="2:19" s="301" customFormat="1" ht="16" x14ac:dyDescent="0.2">
      <c r="B27" s="298"/>
      <c r="C27" s="417" t="s">
        <v>165</v>
      </c>
      <c r="D27" s="418"/>
      <c r="E27" s="743" t="s">
        <v>77</v>
      </c>
      <c r="F27" s="743"/>
      <c r="G27" s="333"/>
      <c r="H27" s="743" t="s">
        <v>137</v>
      </c>
      <c r="I27" s="743"/>
      <c r="J27" s="743"/>
      <c r="K27" s="339"/>
      <c r="L27" s="302"/>
      <c r="M27" s="417" t="s">
        <v>143</v>
      </c>
      <c r="N27" s="763"/>
      <c r="O27" s="284" t="s">
        <v>140</v>
      </c>
      <c r="P27" s="588"/>
      <c r="Q27" s="754"/>
      <c r="R27" s="300"/>
      <c r="S27" s="303"/>
    </row>
    <row r="28" spans="2:19" s="301" customFormat="1" ht="16" x14ac:dyDescent="0.2">
      <c r="B28" s="298"/>
      <c r="C28" s="774"/>
      <c r="D28" s="775"/>
      <c r="E28" s="757" t="s">
        <v>87</v>
      </c>
      <c r="F28" s="757"/>
      <c r="G28" s="334"/>
      <c r="H28" s="757" t="s">
        <v>138</v>
      </c>
      <c r="I28" s="757"/>
      <c r="J28" s="757"/>
      <c r="K28" s="340"/>
      <c r="L28" s="302"/>
      <c r="M28" s="764"/>
      <c r="N28" s="765"/>
      <c r="O28" s="304" t="s">
        <v>141</v>
      </c>
      <c r="P28" s="584"/>
      <c r="Q28" s="755"/>
      <c r="R28" s="300"/>
      <c r="S28" s="303"/>
    </row>
    <row r="29" spans="2:19" s="301" customFormat="1" ht="17" thickBot="1" x14ac:dyDescent="0.25">
      <c r="B29" s="298"/>
      <c r="C29" s="419"/>
      <c r="D29" s="420"/>
      <c r="E29" s="758" t="s">
        <v>136</v>
      </c>
      <c r="F29" s="758"/>
      <c r="G29" s="335"/>
      <c r="H29" s="758" t="s">
        <v>139</v>
      </c>
      <c r="I29" s="758"/>
      <c r="J29" s="758"/>
      <c r="K29" s="341"/>
      <c r="L29" s="302"/>
      <c r="M29" s="766"/>
      <c r="N29" s="767"/>
      <c r="O29" s="285" t="s">
        <v>142</v>
      </c>
      <c r="P29" s="664"/>
      <c r="Q29" s="768"/>
      <c r="R29" s="300"/>
      <c r="S29" s="303"/>
    </row>
    <row r="30" spans="2:19" s="301" customFormat="1" ht="13.5" customHeight="1" thickBot="1" x14ac:dyDescent="0.25">
      <c r="B30" s="298"/>
      <c r="C30" s="305"/>
      <c r="D30" s="305"/>
      <c r="E30" s="306"/>
      <c r="F30" s="306"/>
      <c r="G30" s="307"/>
      <c r="H30" s="307"/>
      <c r="I30" s="306"/>
      <c r="J30" s="306"/>
      <c r="K30" s="306"/>
      <c r="L30" s="307"/>
      <c r="M30" s="307"/>
      <c r="N30" s="307"/>
      <c r="O30" s="307"/>
      <c r="P30" s="307"/>
      <c r="Q30" s="307"/>
      <c r="R30" s="300"/>
      <c r="S30" s="303"/>
    </row>
    <row r="31" spans="2:19" s="301" customFormat="1" ht="39.75" customHeight="1" thickBot="1" x14ac:dyDescent="0.25">
      <c r="B31" s="298"/>
      <c r="C31" s="448" t="s">
        <v>148</v>
      </c>
      <c r="D31" s="707"/>
      <c r="F31" s="596" t="s">
        <v>169</v>
      </c>
      <c r="G31" s="597"/>
      <c r="H31" s="597"/>
      <c r="I31" s="730"/>
      <c r="J31" s="731"/>
      <c r="L31" s="709" t="s">
        <v>170</v>
      </c>
      <c r="M31" s="710"/>
      <c r="N31" s="710"/>
      <c r="O31" s="378"/>
      <c r="P31" s="380"/>
      <c r="Q31" s="352"/>
      <c r="R31" s="300"/>
      <c r="S31" s="303"/>
    </row>
    <row r="32" spans="2:19" s="301" customFormat="1" ht="42.75" customHeight="1" thickBot="1" x14ac:dyDescent="0.25">
      <c r="B32" s="298"/>
      <c r="C32" s="450"/>
      <c r="D32" s="708"/>
      <c r="F32" s="464" t="str">
        <f>IF(I31="X","Cuál(es) fue(ron) el(los) agente(s) identificado(s)"," ")</f>
        <v xml:space="preserve"> </v>
      </c>
      <c r="G32" s="465"/>
      <c r="H32" s="465"/>
      <c r="I32" s="752"/>
      <c r="J32" s="753"/>
      <c r="Q32" s="331"/>
      <c r="R32" s="300"/>
      <c r="S32" s="303"/>
    </row>
    <row r="33" spans="2:28" s="301" customFormat="1" ht="25.5" customHeight="1" thickBot="1" x14ac:dyDescent="0.25">
      <c r="B33" s="298"/>
      <c r="C33" s="287"/>
      <c r="D33" s="287"/>
      <c r="E33" s="306"/>
      <c r="F33" s="729"/>
      <c r="G33" s="729"/>
      <c r="H33" s="729"/>
      <c r="I33" s="729"/>
      <c r="J33" s="729"/>
      <c r="K33" s="729"/>
      <c r="L33" s="729"/>
      <c r="M33" s="729"/>
      <c r="N33" s="729"/>
      <c r="O33" s="729"/>
      <c r="P33" s="729"/>
      <c r="Q33" s="307"/>
      <c r="R33" s="300"/>
      <c r="T33" s="308"/>
    </row>
    <row r="34" spans="2:28" s="267" customFormat="1" ht="45.75" customHeight="1" x14ac:dyDescent="0.2">
      <c r="B34" s="265"/>
      <c r="C34" s="365" t="s">
        <v>80</v>
      </c>
      <c r="D34" s="366"/>
      <c r="E34" s="616"/>
      <c r="F34" s="616"/>
      <c r="G34" s="616"/>
      <c r="H34" s="616"/>
      <c r="I34" s="616"/>
      <c r="J34" s="616"/>
      <c r="K34" s="616"/>
      <c r="L34" s="616"/>
      <c r="M34" s="616"/>
      <c r="N34" s="616"/>
      <c r="O34" s="616"/>
      <c r="P34" s="616"/>
      <c r="Q34" s="617"/>
      <c r="R34" s="266"/>
      <c r="T34" s="716"/>
      <c r="U34" s="716"/>
      <c r="V34" s="716"/>
      <c r="W34" s="716"/>
      <c r="X34" s="716"/>
      <c r="Y34" s="716"/>
      <c r="Z34" s="716"/>
      <c r="AA34" s="716"/>
      <c r="AB34" s="716"/>
    </row>
    <row r="35" spans="2:28" s="267" customFormat="1" ht="36.75" customHeight="1" thickBot="1" x14ac:dyDescent="0.25">
      <c r="B35" s="265"/>
      <c r="C35" s="367"/>
      <c r="D35" s="368"/>
      <c r="E35" s="622"/>
      <c r="F35" s="622"/>
      <c r="G35" s="622"/>
      <c r="H35" s="622"/>
      <c r="I35" s="622"/>
      <c r="J35" s="622"/>
      <c r="K35" s="622"/>
      <c r="L35" s="622"/>
      <c r="M35" s="622"/>
      <c r="N35" s="622"/>
      <c r="O35" s="622"/>
      <c r="P35" s="622"/>
      <c r="Q35" s="623"/>
      <c r="R35" s="266"/>
    </row>
    <row r="36" spans="2:28" s="267" customFormat="1" ht="6" customHeight="1" thickBot="1" x14ac:dyDescent="0.25">
      <c r="B36" s="265"/>
      <c r="C36" s="268"/>
      <c r="D36" s="268"/>
      <c r="E36" s="268"/>
      <c r="F36" s="268"/>
      <c r="G36" s="268"/>
      <c r="H36" s="268"/>
      <c r="I36" s="268"/>
      <c r="J36" s="268"/>
      <c r="K36" s="268"/>
      <c r="L36" s="268"/>
      <c r="M36" s="268"/>
      <c r="N36" s="268"/>
      <c r="O36" s="269"/>
      <c r="P36" s="268"/>
      <c r="Q36" s="268"/>
      <c r="R36" s="266"/>
    </row>
    <row r="37" spans="2:28" s="267" customFormat="1" ht="171" customHeight="1" x14ac:dyDescent="0.2">
      <c r="B37" s="265"/>
      <c r="C37" s="365" t="s">
        <v>81</v>
      </c>
      <c r="D37" s="366"/>
      <c r="E37" s="616"/>
      <c r="F37" s="616"/>
      <c r="G37" s="616"/>
      <c r="H37" s="616"/>
      <c r="I37" s="616"/>
      <c r="J37" s="616"/>
      <c r="K37" s="616"/>
      <c r="L37" s="616"/>
      <c r="M37" s="616"/>
      <c r="N37" s="616"/>
      <c r="O37" s="616"/>
      <c r="P37" s="616"/>
      <c r="Q37" s="617"/>
      <c r="R37" s="266"/>
    </row>
    <row r="38" spans="2:28" s="267" customFormat="1" ht="210.75" customHeight="1" thickBot="1" x14ac:dyDescent="0.25">
      <c r="B38" s="265"/>
      <c r="C38" s="367"/>
      <c r="D38" s="368"/>
      <c r="E38" s="622"/>
      <c r="F38" s="622"/>
      <c r="G38" s="622"/>
      <c r="H38" s="622"/>
      <c r="I38" s="622"/>
      <c r="J38" s="622"/>
      <c r="K38" s="622"/>
      <c r="L38" s="622"/>
      <c r="M38" s="622"/>
      <c r="N38" s="622"/>
      <c r="O38" s="622"/>
      <c r="P38" s="622"/>
      <c r="Q38" s="623"/>
      <c r="R38" s="266"/>
      <c r="T38" s="716"/>
      <c r="U38" s="716"/>
      <c r="V38" s="716"/>
      <c r="W38" s="716"/>
      <c r="X38" s="716"/>
      <c r="Y38" s="716"/>
      <c r="Z38" s="716"/>
    </row>
    <row r="39" spans="2:28" s="41" customFormat="1" ht="6" customHeight="1" thickBot="1" x14ac:dyDescent="0.25">
      <c r="B39" s="10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2"/>
      <c r="P39" s="122"/>
      <c r="Q39" s="122"/>
      <c r="R39" s="16"/>
    </row>
    <row r="40" spans="2:28" s="267" customFormat="1" ht="15" customHeight="1" x14ac:dyDescent="0.2">
      <c r="B40" s="265"/>
      <c r="C40" s="717" t="s">
        <v>101</v>
      </c>
      <c r="D40" s="718"/>
      <c r="E40" s="723" t="s">
        <v>83</v>
      </c>
      <c r="F40" s="726" t="s">
        <v>85</v>
      </c>
      <c r="G40" s="727"/>
      <c r="H40" s="727"/>
      <c r="I40" s="727"/>
      <c r="J40" s="727"/>
      <c r="K40" s="727"/>
      <c r="L40" s="727"/>
      <c r="M40" s="727"/>
      <c r="N40" s="726" t="s">
        <v>84</v>
      </c>
      <c r="O40" s="727"/>
      <c r="P40" s="727"/>
      <c r="Q40" s="728"/>
      <c r="R40" s="266"/>
      <c r="T40" s="270"/>
      <c r="U40" s="270"/>
      <c r="V40" s="270"/>
      <c r="W40" s="270"/>
      <c r="X40" s="270"/>
      <c r="Y40" s="270"/>
    </row>
    <row r="41" spans="2:28" s="311" customFormat="1" ht="38.25" customHeight="1" thickBot="1" x14ac:dyDescent="0.25">
      <c r="B41" s="309"/>
      <c r="C41" s="719"/>
      <c r="D41" s="720"/>
      <c r="E41" s="724"/>
      <c r="F41" s="109" t="s">
        <v>93</v>
      </c>
      <c r="G41" s="110" t="s">
        <v>55</v>
      </c>
      <c r="H41" s="110" t="s">
        <v>94</v>
      </c>
      <c r="I41" s="110" t="s">
        <v>95</v>
      </c>
      <c r="J41" s="110" t="s">
        <v>96</v>
      </c>
      <c r="K41" s="110" t="s">
        <v>97</v>
      </c>
      <c r="L41" s="110" t="s">
        <v>98</v>
      </c>
      <c r="M41" s="111" t="s">
        <v>99</v>
      </c>
      <c r="N41" s="109" t="s">
        <v>36</v>
      </c>
      <c r="O41" s="110" t="s">
        <v>100</v>
      </c>
      <c r="P41" s="110" t="s">
        <v>77</v>
      </c>
      <c r="Q41" s="112" t="s">
        <v>78</v>
      </c>
      <c r="R41" s="310"/>
      <c r="T41" s="312"/>
      <c r="U41" s="313"/>
      <c r="V41" s="313"/>
      <c r="W41" s="313"/>
      <c r="X41" s="313"/>
      <c r="Y41" s="313"/>
    </row>
    <row r="42" spans="2:28" s="267" customFormat="1" ht="23.25" customHeight="1" thickBot="1" x14ac:dyDescent="0.25">
      <c r="B42" s="265"/>
      <c r="C42" s="719"/>
      <c r="D42" s="720"/>
      <c r="E42" s="725"/>
      <c r="F42" s="271"/>
      <c r="G42" s="272"/>
      <c r="H42" s="272"/>
      <c r="I42" s="272"/>
      <c r="J42" s="272"/>
      <c r="K42" s="272"/>
      <c r="L42" s="272"/>
      <c r="M42" s="273"/>
      <c r="N42" s="274"/>
      <c r="O42" s="272"/>
      <c r="P42" s="272"/>
      <c r="Q42" s="275"/>
      <c r="R42" s="266"/>
      <c r="T42" s="270"/>
      <c r="U42" s="270"/>
      <c r="V42" s="270"/>
      <c r="W42" s="270"/>
      <c r="X42" s="270"/>
      <c r="Y42" s="270"/>
    </row>
    <row r="43" spans="2:28" s="267" customFormat="1" ht="30.75" customHeight="1" x14ac:dyDescent="0.2">
      <c r="B43" s="265"/>
      <c r="C43" s="719"/>
      <c r="D43" s="720"/>
      <c r="E43" s="740" t="s">
        <v>82</v>
      </c>
      <c r="F43" s="159"/>
      <c r="G43" s="90"/>
      <c r="H43" s="90"/>
      <c r="I43" s="90"/>
      <c r="J43" s="90"/>
      <c r="K43" s="129"/>
      <c r="L43" s="90"/>
      <c r="M43" s="277"/>
      <c r="N43" s="85"/>
      <c r="O43" s="90"/>
      <c r="P43" s="90"/>
      <c r="Q43" s="278"/>
      <c r="R43" s="266"/>
      <c r="T43" s="264"/>
      <c r="U43" s="270"/>
      <c r="V43" s="270"/>
      <c r="W43" s="270"/>
      <c r="X43" s="270"/>
      <c r="Y43" s="270"/>
    </row>
    <row r="44" spans="2:28" s="267" customFormat="1" ht="30.75" customHeight="1" x14ac:dyDescent="0.2">
      <c r="B44" s="265"/>
      <c r="C44" s="719"/>
      <c r="D44" s="720"/>
      <c r="E44" s="740"/>
      <c r="F44" s="159"/>
      <c r="G44" s="129"/>
      <c r="H44" s="129"/>
      <c r="I44" s="129"/>
      <c r="J44" s="129"/>
      <c r="K44" s="129"/>
      <c r="L44" s="129"/>
      <c r="M44" s="158"/>
      <c r="N44" s="133"/>
      <c r="O44" s="129"/>
      <c r="P44" s="129"/>
      <c r="Q44" s="134"/>
      <c r="R44" s="266"/>
      <c r="T44" s="270"/>
      <c r="U44" s="270"/>
      <c r="V44" s="270"/>
      <c r="W44" s="270"/>
      <c r="X44" s="270"/>
      <c r="Y44" s="270"/>
    </row>
    <row r="45" spans="2:28" s="267" customFormat="1" ht="30.75" customHeight="1" x14ac:dyDescent="0.2">
      <c r="B45" s="265"/>
      <c r="C45" s="719"/>
      <c r="D45" s="720"/>
      <c r="E45" s="740"/>
      <c r="F45" s="159"/>
      <c r="G45" s="129"/>
      <c r="H45" s="129"/>
      <c r="I45" s="129"/>
      <c r="J45" s="129"/>
      <c r="K45" s="129"/>
      <c r="L45" s="129"/>
      <c r="M45" s="158"/>
      <c r="N45" s="133"/>
      <c r="O45" s="129"/>
      <c r="P45" s="129"/>
      <c r="Q45" s="134"/>
      <c r="R45" s="266"/>
      <c r="T45" s="270"/>
      <c r="U45" s="270"/>
      <c r="V45" s="270"/>
      <c r="W45" s="270"/>
      <c r="X45" s="270"/>
      <c r="Y45" s="270"/>
    </row>
    <row r="46" spans="2:28" s="267" customFormat="1" ht="30.75" customHeight="1" x14ac:dyDescent="0.2">
      <c r="B46" s="265"/>
      <c r="C46" s="719"/>
      <c r="D46" s="720"/>
      <c r="E46" s="740"/>
      <c r="F46" s="159"/>
      <c r="G46" s="129"/>
      <c r="H46" s="129"/>
      <c r="I46" s="129"/>
      <c r="J46" s="129"/>
      <c r="K46" s="129"/>
      <c r="L46" s="129"/>
      <c r="M46" s="158"/>
      <c r="N46" s="133"/>
      <c r="O46" s="129"/>
      <c r="P46" s="129"/>
      <c r="Q46" s="134"/>
      <c r="R46" s="266"/>
      <c r="T46" s="270"/>
      <c r="U46" s="270"/>
      <c r="V46" s="270"/>
      <c r="W46" s="270"/>
      <c r="X46" s="270"/>
      <c r="Y46" s="270"/>
    </row>
    <row r="47" spans="2:28" s="267" customFormat="1" ht="30.75" customHeight="1" thickBot="1" x14ac:dyDescent="0.25">
      <c r="B47" s="265"/>
      <c r="C47" s="721"/>
      <c r="D47" s="722"/>
      <c r="E47" s="741"/>
      <c r="F47" s="161"/>
      <c r="G47" s="131"/>
      <c r="H47" s="131"/>
      <c r="I47" s="131"/>
      <c r="J47" s="131"/>
      <c r="K47" s="131"/>
      <c r="L47" s="131"/>
      <c r="M47" s="160"/>
      <c r="N47" s="130"/>
      <c r="O47" s="131"/>
      <c r="P47" s="131"/>
      <c r="Q47" s="132"/>
      <c r="R47" s="266"/>
      <c r="T47" s="270"/>
      <c r="U47" s="270"/>
      <c r="V47" s="270"/>
      <c r="W47" s="270"/>
      <c r="X47" s="270"/>
      <c r="Y47" s="270"/>
    </row>
    <row r="48" spans="2:28" s="267" customFormat="1" ht="6" customHeight="1" thickBot="1" x14ac:dyDescent="0.25">
      <c r="B48" s="265"/>
      <c r="C48" s="268"/>
      <c r="D48" s="268"/>
      <c r="E48" s="268"/>
      <c r="F48" s="268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6"/>
      <c r="T48" s="270"/>
      <c r="U48" s="270"/>
      <c r="V48" s="270"/>
      <c r="W48" s="270"/>
      <c r="X48" s="270"/>
      <c r="Y48" s="270"/>
    </row>
    <row r="49" spans="2:25" s="267" customFormat="1" ht="141.75" customHeight="1" thickBot="1" x14ac:dyDescent="0.25">
      <c r="B49" s="265"/>
      <c r="C49" s="376" t="s">
        <v>86</v>
      </c>
      <c r="D49" s="377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2"/>
      <c r="R49" s="266"/>
      <c r="T49" s="715"/>
      <c r="U49" s="715"/>
      <c r="V49" s="715"/>
      <c r="W49" s="715"/>
      <c r="X49" s="715"/>
      <c r="Y49" s="715"/>
    </row>
    <row r="50" spans="2:25" s="267" customFormat="1" ht="6" customHeight="1" thickBot="1" x14ac:dyDescent="0.25">
      <c r="B50" s="265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6"/>
      <c r="T50" s="270"/>
      <c r="U50" s="270"/>
      <c r="V50" s="270"/>
      <c r="W50" s="270"/>
      <c r="X50" s="270"/>
      <c r="Y50" s="270"/>
    </row>
    <row r="51" spans="2:25" s="267" customFormat="1" ht="21.75" customHeight="1" thickBot="1" x14ac:dyDescent="0.25">
      <c r="B51" s="265"/>
      <c r="C51" s="704" t="s">
        <v>189</v>
      </c>
      <c r="D51" s="705"/>
      <c r="E51" s="705"/>
      <c r="F51" s="705"/>
      <c r="G51" s="705"/>
      <c r="H51" s="705"/>
      <c r="I51" s="705"/>
      <c r="J51" s="705"/>
      <c r="K51" s="705"/>
      <c r="L51" s="705"/>
      <c r="M51" s="705"/>
      <c r="N51" s="705"/>
      <c r="O51" s="705"/>
      <c r="P51" s="705"/>
      <c r="Q51" s="706"/>
      <c r="R51" s="266"/>
    </row>
    <row r="52" spans="2:25" s="267" customFormat="1" ht="150.5" customHeight="1" x14ac:dyDescent="0.2">
      <c r="B52" s="265"/>
      <c r="C52" s="614"/>
      <c r="D52" s="405"/>
      <c r="E52" s="405"/>
      <c r="F52" s="405"/>
      <c r="G52" s="405"/>
      <c r="H52" s="405"/>
      <c r="I52" s="405"/>
      <c r="J52" s="405"/>
      <c r="K52" s="405"/>
      <c r="L52" s="405"/>
      <c r="M52" s="405"/>
      <c r="N52" s="405"/>
      <c r="O52" s="405"/>
      <c r="P52" s="405"/>
      <c r="Q52" s="406"/>
      <c r="R52" s="266"/>
    </row>
    <row r="53" spans="2:25" s="267" customFormat="1" ht="6" customHeight="1" thickBot="1" x14ac:dyDescent="0.25">
      <c r="B53" s="265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6"/>
    </row>
    <row r="54" spans="2:25" s="267" customFormat="1" ht="21" customHeight="1" x14ac:dyDescent="0.2">
      <c r="B54" s="265"/>
      <c r="C54" s="726" t="s">
        <v>56</v>
      </c>
      <c r="D54" s="727"/>
      <c r="E54" s="727"/>
      <c r="F54" s="727"/>
      <c r="G54" s="727"/>
      <c r="H54" s="727"/>
      <c r="I54" s="727"/>
      <c r="J54" s="727"/>
      <c r="K54" s="727"/>
      <c r="L54" s="727"/>
      <c r="M54" s="727"/>
      <c r="N54" s="727"/>
      <c r="O54" s="727"/>
      <c r="P54" s="727"/>
      <c r="Q54" s="728"/>
      <c r="R54" s="266"/>
    </row>
    <row r="55" spans="2:25" s="267" customFormat="1" ht="15" customHeight="1" x14ac:dyDescent="0.2">
      <c r="B55" s="265"/>
      <c r="C55" s="614"/>
      <c r="D55" s="405"/>
      <c r="E55" s="405"/>
      <c r="F55" s="405"/>
      <c r="G55" s="405"/>
      <c r="H55" s="405"/>
      <c r="I55" s="405"/>
      <c r="J55" s="405"/>
      <c r="K55" s="405"/>
      <c r="L55" s="405"/>
      <c r="M55" s="405"/>
      <c r="N55" s="405"/>
      <c r="O55" s="405"/>
      <c r="P55" s="405"/>
      <c r="Q55" s="406"/>
      <c r="R55" s="266"/>
    </row>
    <row r="56" spans="2:25" s="267" customFormat="1" ht="15" customHeight="1" x14ac:dyDescent="0.2">
      <c r="B56" s="265"/>
      <c r="C56" s="614"/>
      <c r="D56" s="405"/>
      <c r="E56" s="405"/>
      <c r="F56" s="405"/>
      <c r="G56" s="405"/>
      <c r="H56" s="405"/>
      <c r="I56" s="405"/>
      <c r="J56" s="405"/>
      <c r="K56" s="405"/>
      <c r="L56" s="405"/>
      <c r="M56" s="405"/>
      <c r="N56" s="405"/>
      <c r="O56" s="405"/>
      <c r="P56" s="405"/>
      <c r="Q56" s="406"/>
      <c r="R56" s="266"/>
    </row>
    <row r="57" spans="2:25" s="267" customFormat="1" ht="15" customHeight="1" x14ac:dyDescent="0.2">
      <c r="B57" s="265"/>
      <c r="C57" s="614"/>
      <c r="D57" s="405"/>
      <c r="E57" s="405"/>
      <c r="F57" s="405"/>
      <c r="G57" s="405"/>
      <c r="H57" s="405"/>
      <c r="I57" s="405"/>
      <c r="J57" s="405"/>
      <c r="K57" s="405"/>
      <c r="L57" s="405"/>
      <c r="M57" s="405"/>
      <c r="N57" s="405"/>
      <c r="O57" s="405"/>
      <c r="P57" s="405"/>
      <c r="Q57" s="406"/>
      <c r="R57" s="266"/>
    </row>
    <row r="58" spans="2:25" s="267" customFormat="1" ht="15" customHeight="1" x14ac:dyDescent="0.2">
      <c r="B58" s="265"/>
      <c r="C58" s="614"/>
      <c r="D58" s="405"/>
      <c r="E58" s="405"/>
      <c r="F58" s="405"/>
      <c r="G58" s="405"/>
      <c r="H58" s="405"/>
      <c r="I58" s="405"/>
      <c r="J58" s="405"/>
      <c r="K58" s="405"/>
      <c r="L58" s="405"/>
      <c r="M58" s="405"/>
      <c r="N58" s="405"/>
      <c r="O58" s="405"/>
      <c r="P58" s="405"/>
      <c r="Q58" s="406"/>
      <c r="R58" s="266"/>
    </row>
    <row r="59" spans="2:25" s="267" customFormat="1" ht="15" customHeight="1" x14ac:dyDescent="0.2">
      <c r="B59" s="265"/>
      <c r="C59" s="614"/>
      <c r="D59" s="405"/>
      <c r="E59" s="405"/>
      <c r="F59" s="405"/>
      <c r="G59" s="405"/>
      <c r="H59" s="405"/>
      <c r="I59" s="405"/>
      <c r="J59" s="405"/>
      <c r="K59" s="405"/>
      <c r="L59" s="405"/>
      <c r="M59" s="405"/>
      <c r="N59" s="405"/>
      <c r="O59" s="405"/>
      <c r="P59" s="405"/>
      <c r="Q59" s="406"/>
      <c r="R59" s="266"/>
    </row>
    <row r="60" spans="2:25" s="267" customFormat="1" ht="15" customHeight="1" x14ac:dyDescent="0.2">
      <c r="B60" s="265"/>
      <c r="C60" s="614"/>
      <c r="D60" s="405"/>
      <c r="E60" s="405"/>
      <c r="F60" s="405"/>
      <c r="G60" s="405"/>
      <c r="H60" s="405"/>
      <c r="I60" s="405"/>
      <c r="J60" s="405"/>
      <c r="K60" s="405"/>
      <c r="L60" s="405"/>
      <c r="M60" s="405"/>
      <c r="N60" s="405"/>
      <c r="O60" s="405"/>
      <c r="P60" s="405"/>
      <c r="Q60" s="406"/>
      <c r="R60" s="266"/>
    </row>
    <row r="61" spans="2:25" s="267" customFormat="1" ht="15" customHeight="1" x14ac:dyDescent="0.2">
      <c r="B61" s="265"/>
      <c r="C61" s="614"/>
      <c r="D61" s="405"/>
      <c r="E61" s="405"/>
      <c r="F61" s="405"/>
      <c r="G61" s="405"/>
      <c r="H61" s="405"/>
      <c r="I61" s="405"/>
      <c r="J61" s="405"/>
      <c r="K61" s="405"/>
      <c r="L61" s="405"/>
      <c r="M61" s="405"/>
      <c r="N61" s="405"/>
      <c r="O61" s="405"/>
      <c r="P61" s="405"/>
      <c r="Q61" s="406"/>
      <c r="R61" s="266"/>
    </row>
    <row r="62" spans="2:25" s="267" customFormat="1" ht="15" customHeight="1" x14ac:dyDescent="0.2">
      <c r="B62" s="265"/>
      <c r="C62" s="614"/>
      <c r="D62" s="405"/>
      <c r="E62" s="405"/>
      <c r="F62" s="405"/>
      <c r="G62" s="405"/>
      <c r="H62" s="405"/>
      <c r="I62" s="405"/>
      <c r="J62" s="405"/>
      <c r="K62" s="405"/>
      <c r="L62" s="405"/>
      <c r="M62" s="405"/>
      <c r="N62" s="405"/>
      <c r="O62" s="405"/>
      <c r="P62" s="405"/>
      <c r="Q62" s="406"/>
      <c r="R62" s="266"/>
    </row>
    <row r="63" spans="2:25" s="267" customFormat="1" ht="15" customHeight="1" x14ac:dyDescent="0.2">
      <c r="B63" s="265"/>
      <c r="C63" s="614"/>
      <c r="D63" s="405"/>
      <c r="E63" s="405"/>
      <c r="F63" s="405"/>
      <c r="G63" s="405"/>
      <c r="H63" s="405"/>
      <c r="I63" s="405"/>
      <c r="J63" s="405"/>
      <c r="K63" s="405"/>
      <c r="L63" s="405"/>
      <c r="M63" s="405"/>
      <c r="N63" s="405"/>
      <c r="O63" s="405"/>
      <c r="P63" s="405"/>
      <c r="Q63" s="406"/>
      <c r="R63" s="266"/>
    </row>
    <row r="64" spans="2:25" s="267" customFormat="1" ht="15" customHeight="1" x14ac:dyDescent="0.2">
      <c r="B64" s="265"/>
      <c r="C64" s="614"/>
      <c r="D64" s="405"/>
      <c r="E64" s="405"/>
      <c r="F64" s="405"/>
      <c r="G64" s="405"/>
      <c r="H64" s="405"/>
      <c r="I64" s="405"/>
      <c r="J64" s="405"/>
      <c r="K64" s="405"/>
      <c r="L64" s="405"/>
      <c r="M64" s="405"/>
      <c r="N64" s="405"/>
      <c r="O64" s="405"/>
      <c r="P64" s="405"/>
      <c r="Q64" s="406"/>
      <c r="R64" s="266"/>
    </row>
    <row r="65" spans="2:18" s="267" customFormat="1" ht="15" customHeight="1" thickBot="1" x14ac:dyDescent="0.25">
      <c r="B65" s="265"/>
      <c r="C65" s="612"/>
      <c r="D65" s="382"/>
      <c r="E65" s="382"/>
      <c r="F65" s="382"/>
      <c r="G65" s="382"/>
      <c r="H65" s="382"/>
      <c r="I65" s="382"/>
      <c r="J65" s="382"/>
      <c r="K65" s="382"/>
      <c r="L65" s="382"/>
      <c r="M65" s="382"/>
      <c r="N65" s="382"/>
      <c r="O65" s="382"/>
      <c r="P65" s="382"/>
      <c r="Q65" s="383"/>
      <c r="R65" s="266"/>
    </row>
    <row r="66" spans="2:18" s="267" customFormat="1" ht="6" customHeight="1" thickBot="1" x14ac:dyDescent="0.25">
      <c r="B66" s="265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6"/>
    </row>
    <row r="67" spans="2:18" s="267" customFormat="1" ht="20.25" customHeight="1" x14ac:dyDescent="0.2">
      <c r="B67" s="276"/>
      <c r="C67" s="759" t="s">
        <v>58</v>
      </c>
      <c r="D67" s="760"/>
      <c r="E67" s="760"/>
      <c r="F67" s="760"/>
      <c r="G67" s="760"/>
      <c r="H67" s="760"/>
      <c r="I67" s="760"/>
      <c r="J67" s="760"/>
      <c r="K67" s="760"/>
      <c r="L67" s="760"/>
      <c r="M67" s="760"/>
      <c r="N67" s="760"/>
      <c r="O67" s="760"/>
      <c r="P67" s="760"/>
      <c r="Q67" s="761"/>
      <c r="R67" s="266"/>
    </row>
    <row r="68" spans="2:18" s="267" customFormat="1" ht="16" x14ac:dyDescent="0.2">
      <c r="B68" s="265"/>
      <c r="C68" s="614"/>
      <c r="D68" s="405"/>
      <c r="E68" s="405"/>
      <c r="F68" s="405"/>
      <c r="G68" s="405"/>
      <c r="H68" s="405"/>
      <c r="I68" s="405"/>
      <c r="J68" s="405"/>
      <c r="K68" s="405"/>
      <c r="L68" s="405"/>
      <c r="M68" s="405"/>
      <c r="N68" s="405"/>
      <c r="O68" s="405"/>
      <c r="P68" s="405"/>
      <c r="Q68" s="406"/>
      <c r="R68" s="266"/>
    </row>
    <row r="69" spans="2:18" s="267" customFormat="1" ht="16" x14ac:dyDescent="0.2">
      <c r="B69" s="265"/>
      <c r="C69" s="614"/>
      <c r="D69" s="405"/>
      <c r="E69" s="405"/>
      <c r="F69" s="405"/>
      <c r="G69" s="405"/>
      <c r="H69" s="405"/>
      <c r="I69" s="405"/>
      <c r="J69" s="405"/>
      <c r="K69" s="405"/>
      <c r="L69" s="405"/>
      <c r="M69" s="405"/>
      <c r="N69" s="405"/>
      <c r="O69" s="405"/>
      <c r="P69" s="405"/>
      <c r="Q69" s="406"/>
      <c r="R69" s="266"/>
    </row>
    <row r="70" spans="2:18" s="267" customFormat="1" ht="16" x14ac:dyDescent="0.2">
      <c r="B70" s="265"/>
      <c r="C70" s="614"/>
      <c r="D70" s="405"/>
      <c r="E70" s="405"/>
      <c r="F70" s="405"/>
      <c r="G70" s="405"/>
      <c r="H70" s="405"/>
      <c r="I70" s="405"/>
      <c r="J70" s="405"/>
      <c r="K70" s="405"/>
      <c r="L70" s="405"/>
      <c r="M70" s="405"/>
      <c r="N70" s="405"/>
      <c r="O70" s="405"/>
      <c r="P70" s="405"/>
      <c r="Q70" s="406"/>
      <c r="R70" s="266"/>
    </row>
    <row r="71" spans="2:18" s="267" customFormat="1" ht="16" x14ac:dyDescent="0.2">
      <c r="B71" s="265"/>
      <c r="C71" s="614"/>
      <c r="D71" s="405"/>
      <c r="E71" s="405"/>
      <c r="F71" s="405"/>
      <c r="G71" s="405"/>
      <c r="H71" s="405"/>
      <c r="I71" s="405"/>
      <c r="J71" s="405"/>
      <c r="K71" s="405"/>
      <c r="L71" s="405"/>
      <c r="M71" s="405"/>
      <c r="N71" s="405"/>
      <c r="O71" s="405"/>
      <c r="P71" s="405"/>
      <c r="Q71" s="406"/>
      <c r="R71" s="266"/>
    </row>
    <row r="72" spans="2:18" s="267" customFormat="1" ht="16" x14ac:dyDescent="0.2">
      <c r="B72" s="265"/>
      <c r="C72" s="614"/>
      <c r="D72" s="405"/>
      <c r="E72" s="405"/>
      <c r="F72" s="405"/>
      <c r="G72" s="405"/>
      <c r="H72" s="405"/>
      <c r="I72" s="405"/>
      <c r="J72" s="405"/>
      <c r="K72" s="405"/>
      <c r="L72" s="405"/>
      <c r="M72" s="405"/>
      <c r="N72" s="405"/>
      <c r="O72" s="405"/>
      <c r="P72" s="405"/>
      <c r="Q72" s="406"/>
      <c r="R72" s="266"/>
    </row>
    <row r="73" spans="2:18" s="267" customFormat="1" ht="16" x14ac:dyDescent="0.2">
      <c r="B73" s="265"/>
      <c r="C73" s="614"/>
      <c r="D73" s="405"/>
      <c r="E73" s="405"/>
      <c r="F73" s="405"/>
      <c r="G73" s="405"/>
      <c r="H73" s="405"/>
      <c r="I73" s="405"/>
      <c r="J73" s="405"/>
      <c r="K73" s="405"/>
      <c r="L73" s="405"/>
      <c r="M73" s="405"/>
      <c r="N73" s="405"/>
      <c r="O73" s="405"/>
      <c r="P73" s="405"/>
      <c r="Q73" s="406"/>
      <c r="R73" s="266"/>
    </row>
    <row r="74" spans="2:18" s="267" customFormat="1" ht="16" x14ac:dyDescent="0.2">
      <c r="B74" s="265"/>
      <c r="C74" s="614"/>
      <c r="D74" s="405"/>
      <c r="E74" s="405"/>
      <c r="F74" s="405"/>
      <c r="G74" s="405"/>
      <c r="H74" s="405"/>
      <c r="I74" s="405"/>
      <c r="J74" s="405"/>
      <c r="K74" s="405"/>
      <c r="L74" s="405"/>
      <c r="M74" s="405"/>
      <c r="N74" s="405"/>
      <c r="O74" s="405"/>
      <c r="P74" s="405"/>
      <c r="Q74" s="406"/>
      <c r="R74" s="266"/>
    </row>
    <row r="75" spans="2:18" s="267" customFormat="1" ht="16" x14ac:dyDescent="0.2">
      <c r="B75" s="265"/>
      <c r="C75" s="614"/>
      <c r="D75" s="405"/>
      <c r="E75" s="405"/>
      <c r="F75" s="405"/>
      <c r="G75" s="405"/>
      <c r="H75" s="405"/>
      <c r="I75" s="405"/>
      <c r="J75" s="405"/>
      <c r="K75" s="405"/>
      <c r="L75" s="405"/>
      <c r="M75" s="405"/>
      <c r="N75" s="405"/>
      <c r="O75" s="405"/>
      <c r="P75" s="405"/>
      <c r="Q75" s="406"/>
      <c r="R75" s="266"/>
    </row>
    <row r="76" spans="2:18" s="267" customFormat="1" ht="16" x14ac:dyDescent="0.2">
      <c r="B76" s="265"/>
      <c r="C76" s="614"/>
      <c r="D76" s="405"/>
      <c r="E76" s="405"/>
      <c r="F76" s="405"/>
      <c r="G76" s="405"/>
      <c r="H76" s="405"/>
      <c r="I76" s="405"/>
      <c r="J76" s="405"/>
      <c r="K76" s="405"/>
      <c r="L76" s="405"/>
      <c r="M76" s="405"/>
      <c r="N76" s="405"/>
      <c r="O76" s="405"/>
      <c r="P76" s="405"/>
      <c r="Q76" s="406"/>
      <c r="R76" s="266"/>
    </row>
    <row r="77" spans="2:18" s="267" customFormat="1" ht="16" x14ac:dyDescent="0.2">
      <c r="B77" s="265"/>
      <c r="C77" s="614"/>
      <c r="D77" s="405"/>
      <c r="E77" s="405"/>
      <c r="F77" s="405"/>
      <c r="G77" s="405"/>
      <c r="H77" s="405"/>
      <c r="I77" s="405"/>
      <c r="J77" s="405"/>
      <c r="K77" s="405"/>
      <c r="L77" s="405"/>
      <c r="M77" s="405"/>
      <c r="N77" s="405"/>
      <c r="O77" s="405"/>
      <c r="P77" s="405"/>
      <c r="Q77" s="406"/>
      <c r="R77" s="266"/>
    </row>
    <row r="78" spans="2:18" s="267" customFormat="1" ht="17" thickBot="1" x14ac:dyDescent="0.25">
      <c r="B78" s="265"/>
      <c r="C78" s="612"/>
      <c r="D78" s="382"/>
      <c r="E78" s="382"/>
      <c r="F78" s="382"/>
      <c r="G78" s="382"/>
      <c r="H78" s="382"/>
      <c r="I78" s="382"/>
      <c r="J78" s="382"/>
      <c r="K78" s="382"/>
      <c r="L78" s="382"/>
      <c r="M78" s="382"/>
      <c r="N78" s="382"/>
      <c r="O78" s="382"/>
      <c r="P78" s="382"/>
      <c r="Q78" s="383"/>
      <c r="R78" s="266"/>
    </row>
    <row r="79" spans="2:18" s="267" customFormat="1" ht="17" thickBot="1" x14ac:dyDescent="0.25">
      <c r="B79" s="265"/>
      <c r="C79" s="268"/>
      <c r="D79" s="268"/>
      <c r="E79" s="268"/>
      <c r="F79" s="268"/>
      <c r="G79" s="268"/>
      <c r="H79" s="268"/>
      <c r="I79" s="268"/>
      <c r="J79" s="347"/>
      <c r="K79" s="268"/>
      <c r="L79" s="268"/>
      <c r="M79" s="268"/>
      <c r="N79" s="268"/>
      <c r="O79" s="268"/>
      <c r="P79" s="268"/>
      <c r="Q79" s="268"/>
      <c r="R79" s="266"/>
    </row>
    <row r="80" spans="2:18" s="267" customFormat="1" ht="16" x14ac:dyDescent="0.2">
      <c r="B80" s="265"/>
      <c r="C80" s="441" t="s">
        <v>40</v>
      </c>
      <c r="D80" s="442"/>
      <c r="E80" s="442"/>
      <c r="F80" s="762"/>
      <c r="G80" s="742"/>
      <c r="H80" s="369"/>
      <c r="I80" s="369"/>
      <c r="J80" s="369"/>
      <c r="K80" s="369"/>
      <c r="L80" s="369"/>
      <c r="M80" s="369"/>
      <c r="N80" s="369"/>
      <c r="O80" s="369"/>
      <c r="P80" s="369"/>
      <c r="Q80" s="370"/>
      <c r="R80" s="266"/>
    </row>
    <row r="81" spans="2:18" s="267" customFormat="1" ht="16" x14ac:dyDescent="0.2">
      <c r="B81" s="265"/>
      <c r="C81" s="435" t="s">
        <v>173</v>
      </c>
      <c r="D81" s="436"/>
      <c r="E81" s="436"/>
      <c r="F81" s="756"/>
      <c r="G81" s="685"/>
      <c r="H81" s="686"/>
      <c r="I81" s="686"/>
      <c r="J81" s="686"/>
      <c r="K81" s="686"/>
      <c r="L81" s="686"/>
      <c r="M81" s="686"/>
      <c r="N81" s="686"/>
      <c r="O81" s="686"/>
      <c r="P81" s="686"/>
      <c r="Q81" s="687"/>
      <c r="R81" s="266"/>
    </row>
    <row r="82" spans="2:18" s="267" customFormat="1" ht="15" customHeight="1" x14ac:dyDescent="0.2">
      <c r="B82" s="265"/>
      <c r="C82" s="435" t="s">
        <v>41</v>
      </c>
      <c r="D82" s="436"/>
      <c r="E82" s="436"/>
      <c r="F82" s="436"/>
      <c r="G82" s="776"/>
      <c r="H82" s="777"/>
      <c r="I82" s="777"/>
      <c r="J82" s="777"/>
      <c r="K82" s="777"/>
      <c r="L82" s="777"/>
      <c r="M82" s="777"/>
      <c r="N82" s="777"/>
      <c r="O82" s="777"/>
      <c r="P82" s="777"/>
      <c r="Q82" s="778"/>
      <c r="R82" s="266"/>
    </row>
    <row r="83" spans="2:18" s="267" customFormat="1" ht="17" thickBot="1" x14ac:dyDescent="0.25">
      <c r="B83" s="265"/>
      <c r="C83" s="711" t="s">
        <v>42</v>
      </c>
      <c r="D83" s="712"/>
      <c r="E83" s="712"/>
      <c r="F83" s="712"/>
      <c r="G83" s="713"/>
      <c r="H83" s="371"/>
      <c r="I83" s="371"/>
      <c r="J83" s="371"/>
      <c r="K83" s="371"/>
      <c r="L83" s="371"/>
      <c r="M83" s="371"/>
      <c r="N83" s="371"/>
      <c r="O83" s="371"/>
      <c r="P83" s="371"/>
      <c r="Q83" s="372"/>
      <c r="R83" s="266"/>
    </row>
    <row r="84" spans="2:18" s="267" customFormat="1" ht="31.5" customHeight="1" thickBot="1" x14ac:dyDescent="0.25">
      <c r="B84" s="265"/>
      <c r="C84" s="770"/>
      <c r="D84" s="770"/>
      <c r="E84" s="770"/>
      <c r="F84" s="770"/>
      <c r="G84" s="770"/>
      <c r="H84" s="770"/>
      <c r="I84" s="770"/>
      <c r="J84" s="770"/>
      <c r="K84" s="770"/>
      <c r="L84" s="770"/>
      <c r="M84" s="770"/>
      <c r="N84" s="770"/>
      <c r="O84" s="770"/>
      <c r="P84" s="770"/>
      <c r="Q84" s="770"/>
      <c r="R84" s="266"/>
    </row>
    <row r="85" spans="2:18" s="267" customFormat="1" ht="15.75" customHeight="1" x14ac:dyDescent="0.2">
      <c r="B85" s="265"/>
      <c r="C85" s="698" t="s">
        <v>177</v>
      </c>
      <c r="D85" s="699"/>
      <c r="E85" s="699"/>
      <c r="F85" s="699"/>
      <c r="G85" s="699"/>
      <c r="H85" s="699"/>
      <c r="I85" s="699"/>
      <c r="J85" s="699"/>
      <c r="K85" s="699"/>
      <c r="L85" s="699"/>
      <c r="M85" s="699"/>
      <c r="N85" s="699"/>
      <c r="O85" s="699"/>
      <c r="P85" s="699"/>
      <c r="Q85" s="700"/>
      <c r="R85" s="266"/>
    </row>
    <row r="86" spans="2:18" s="267" customFormat="1" ht="408.75" customHeight="1" x14ac:dyDescent="0.2">
      <c r="B86" s="265"/>
      <c r="C86" s="701"/>
      <c r="D86" s="702"/>
      <c r="E86" s="702"/>
      <c r="F86" s="702"/>
      <c r="G86" s="702"/>
      <c r="H86" s="702"/>
      <c r="I86" s="702"/>
      <c r="J86" s="702"/>
      <c r="K86" s="702"/>
      <c r="L86" s="702"/>
      <c r="M86" s="702"/>
      <c r="N86" s="702"/>
      <c r="O86" s="702"/>
      <c r="P86" s="702"/>
      <c r="Q86" s="703"/>
      <c r="R86" s="266"/>
    </row>
    <row r="87" spans="2:18" s="267" customFormat="1" ht="408.75" customHeight="1" thickBot="1" x14ac:dyDescent="0.25">
      <c r="B87" s="265"/>
      <c r="C87" s="695"/>
      <c r="D87" s="696"/>
      <c r="E87" s="696"/>
      <c r="F87" s="696"/>
      <c r="G87" s="696"/>
      <c r="H87" s="696"/>
      <c r="I87" s="696"/>
      <c r="J87" s="696"/>
      <c r="K87" s="696"/>
      <c r="L87" s="696"/>
      <c r="M87" s="696"/>
      <c r="N87" s="696"/>
      <c r="O87" s="696"/>
      <c r="P87" s="696"/>
      <c r="Q87" s="697"/>
      <c r="R87" s="266"/>
    </row>
    <row r="88" spans="2:18" ht="16" thickBot="1" x14ac:dyDescent="0.25">
      <c r="B88" s="17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9"/>
    </row>
    <row r="90" spans="2:18" ht="15.75" customHeight="1" x14ac:dyDescent="0.2">
      <c r="L90" s="769" t="s">
        <v>179</v>
      </c>
      <c r="M90" s="769"/>
      <c r="N90" s="769"/>
      <c r="O90" s="769"/>
      <c r="P90" s="769"/>
      <c r="Q90" s="769"/>
      <c r="R90" s="769"/>
    </row>
  </sheetData>
  <sheetProtection selectLockedCells="1"/>
  <mergeCells count="81">
    <mergeCell ref="L90:R90"/>
    <mergeCell ref="C84:Q84"/>
    <mergeCell ref="N25:O25"/>
    <mergeCell ref="C26:G26"/>
    <mergeCell ref="I26:Q26"/>
    <mergeCell ref="C27:D29"/>
    <mergeCell ref="E27:F27"/>
    <mergeCell ref="C82:F82"/>
    <mergeCell ref="G82:Q82"/>
    <mergeCell ref="I25:J25"/>
    <mergeCell ref="M27:N29"/>
    <mergeCell ref="P29:Q29"/>
    <mergeCell ref="E29:F29"/>
    <mergeCell ref="K25:L25"/>
    <mergeCell ref="C52:Q52"/>
    <mergeCell ref="C81:F81"/>
    <mergeCell ref="G81:Q81"/>
    <mergeCell ref="H28:J28"/>
    <mergeCell ref="H29:J29"/>
    <mergeCell ref="C67:Q67"/>
    <mergeCell ref="C49:D49"/>
    <mergeCell ref="E28:F28"/>
    <mergeCell ref="C68:Q78"/>
    <mergeCell ref="C80:F80"/>
    <mergeCell ref="G80:Q80"/>
    <mergeCell ref="H27:J27"/>
    <mergeCell ref="C20:D21"/>
    <mergeCell ref="E20:Q21"/>
    <mergeCell ref="P25:Q25"/>
    <mergeCell ref="I32:J32"/>
    <mergeCell ref="P27:Q27"/>
    <mergeCell ref="P28:Q28"/>
    <mergeCell ref="C54:Q54"/>
    <mergeCell ref="C55:Q65"/>
    <mergeCell ref="F12:Q12"/>
    <mergeCell ref="C13:E13"/>
    <mergeCell ref="F13:Q13"/>
    <mergeCell ref="C14:E14"/>
    <mergeCell ref="F14:Q14"/>
    <mergeCell ref="E49:Q49"/>
    <mergeCell ref="G18:K18"/>
    <mergeCell ref="E34:Q35"/>
    <mergeCell ref="E43:E47"/>
    <mergeCell ref="C16:F16"/>
    <mergeCell ref="G16:K16"/>
    <mergeCell ref="C18:F18"/>
    <mergeCell ref="E37:Q38"/>
    <mergeCell ref="N40:Q40"/>
    <mergeCell ref="F40:M40"/>
    <mergeCell ref="F33:P33"/>
    <mergeCell ref="I31:J31"/>
    <mergeCell ref="C23:E23"/>
    <mergeCell ref="F23:G23"/>
    <mergeCell ref="J23:K23"/>
    <mergeCell ref="C3:Q3"/>
    <mergeCell ref="D5:D8"/>
    <mergeCell ref="E5:N5"/>
    <mergeCell ref="P5:P8"/>
    <mergeCell ref="E6:N6"/>
    <mergeCell ref="E7:N7"/>
    <mergeCell ref="E8:N8"/>
    <mergeCell ref="E10:N10"/>
    <mergeCell ref="C12:E12"/>
    <mergeCell ref="O31:P31"/>
    <mergeCell ref="C37:D38"/>
    <mergeCell ref="T49:Y49"/>
    <mergeCell ref="T34:AB34"/>
    <mergeCell ref="T38:Z38"/>
    <mergeCell ref="C40:D47"/>
    <mergeCell ref="E40:E42"/>
    <mergeCell ref="C34:D35"/>
    <mergeCell ref="C87:Q87"/>
    <mergeCell ref="C85:Q85"/>
    <mergeCell ref="C86:Q86"/>
    <mergeCell ref="C51:Q51"/>
    <mergeCell ref="F31:H31"/>
    <mergeCell ref="F32:H32"/>
    <mergeCell ref="C31:D32"/>
    <mergeCell ref="L31:N31"/>
    <mergeCell ref="C83:F83"/>
    <mergeCell ref="G83:Q83"/>
  </mergeCells>
  <pageMargins left="0.7" right="0.7" top="0.75" bottom="0.75" header="0.3" footer="0.3"/>
  <pageSetup orientation="portrait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7C42E17B3523428963270F59157049" ma:contentTypeVersion="1" ma:contentTypeDescription="Crear nuevo documento." ma:contentTypeScope="" ma:versionID="76651a7c74b559303c1db72c2c0e8cf4">
  <xsd:schema xmlns:xsd="http://www.w3.org/2001/XMLSchema" xmlns:xs="http://www.w3.org/2001/XMLSchema" xmlns:p="http://schemas.microsoft.com/office/2006/metadata/properties" xmlns:ns2="3bfbf733-a6c3-488d-a481-abc1b690c7db" targetNamespace="http://schemas.microsoft.com/office/2006/metadata/properties" ma:root="true" ma:fieldsID="ef1698867de3744480bc0a6b8e876801" ns2:_="">
    <xsd:import namespace="3bfbf733-a6c3-488d-a481-abc1b690c7db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fbf733-a6c3-488d-a481-abc1b690c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2D064E-8770-441C-A7B4-8C211C76AE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fbf733-a6c3-488d-a481-abc1b690c7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A6FE57-ECB7-47DE-A420-68E2667E68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Inf. Preliminar</vt:lpstr>
      <vt:lpstr>Inf. 72 horas</vt:lpstr>
      <vt:lpstr>Inf. final</vt:lpstr>
      <vt:lpstr>'Inf. Preliminar'!Área_de_impresión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2006-09-12T12:46:56Z</dcterms:created>
  <dcterms:modified xsi:type="dcterms:W3CDTF">2026-09-26T00:42:48Z</dcterms:modified>
</cp:coreProperties>
</file>